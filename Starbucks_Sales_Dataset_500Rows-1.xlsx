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7B1317F-9EE7-4568-B0F9-CD61C97E9EDE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tarbucksData" sheetId="1" r:id="rId1"/>
    <sheet name="Sheet1" sheetId="2" r:id="rId2"/>
    <sheet name="Sheet2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<sst xmlns="http://schemas.openxmlformats.org/spreadsheetml/2006/main" count="6606" uniqueCount="107">
  <si>
    <t>Store ID</t>
  </si>
  <si>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</si>
  <si>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</si>
  <si>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</si>
  <si>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</si>
  <si>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</si>
  <si>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</si>
  <si>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</si>
  <si>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</si>
  <si>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</si>
  <si>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</si>
  <si>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</si>
  <si>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</si>
  <si>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</si>
  <si>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</si>
  <si>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</si>
  <si>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</si>
  <si>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</si>
  <si>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</si>
  <si>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</si>
  <si>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</si>
  <si>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</si>
  <si>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</si>
  <si>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</si>
  <si>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</si>
  <si>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</si>
  <si>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</si>
  <si>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</si>
  <si>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</si>
  <si>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</si>
  <si>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</si>
  <si>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</si>
  <si>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</si>
  <si>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</si>
  <si>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</si>
  <si>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</si>
  <si>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</si>
  <si>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</si>
  <si>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</si>
  <si>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</si>
  <si>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</si>
  <si>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</si>
  <si>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</si>
  <si>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</si>
  <si>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</si>
  <si>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</si>
  <si>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</si>
  <si>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</si>
  <si>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</si>
  <si>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</si>
  <si>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</si>
  <si>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</si>
  <si>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</si>
  <si>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</si>
  <si>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</si>
  <si>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</si>
  <si>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</si>
  <si>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</si>
  <si>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</si>
  <si>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</si>
  <si>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</si>
  <si>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</si>
  <si>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</si>
  <si>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</si>
  <si>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</si>
  <si>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</si>
  <si>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</si>
  <si>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</si>
  <si>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</si>
  <si>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</si>
  <si>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</si>
  <si>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</si>
  <si>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</si>
  <si>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</si>
  <si>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</si>
  <si>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</si>
  <si>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</si>
  <si>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</si>
  <si>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</si>
  <si>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</si>
  <si>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</si>
  <si>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</si>
  <si>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</si>
  <si>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</si>
  <si>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KPI CARDS</t>
  </si>
  <si>
    <t>TOTAL SALES</t>
  </si>
  <si>
    <t>TOTAL PROFIT</t>
  </si>
  <si>
    <t>TOTAL UNIT SOLS</t>
  </si>
  <si>
    <t>TOTAL CUSTOMER VISITS</t>
  </si>
  <si>
    <t>AVERAGE CUSTOMER RATING</t>
  </si>
  <si>
    <t>TOTAL STORES</t>
  </si>
  <si>
    <t>Column1</t>
  </si>
  <si>
    <t>Row Labels</t>
  </si>
  <si>
    <t>Grand Total</t>
  </si>
  <si>
    <t>Sum of Sales Amount</t>
  </si>
  <si>
    <t>Average of Sales Amount</t>
  </si>
  <si>
    <t>Column Labels</t>
  </si>
  <si>
    <t>Jan</t>
  </si>
  <si>
    <t>Feb</t>
  </si>
  <si>
    <t>Mar</t>
  </si>
  <si>
    <t>Apr</t>
  </si>
  <si>
    <t>Jun</t>
  </si>
  <si>
    <t>Average of Daily Open Sales</t>
  </si>
  <si>
    <t>Average of Daily High Sales</t>
  </si>
  <si>
    <t>Average of Daily Low Sales</t>
  </si>
  <si>
    <t>Average of Daily Close Sales</t>
  </si>
  <si>
    <t>Count of Lead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</si>
</sst>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[Starbucks_Sales_Dataset_500Rows-1.xlsx]Sheet2!PivotTable3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Bakery</c:v>
                </c:pt>
                <c:pt idx="1">
                  <c:v>Beverage</c:v>
                </c:pt>
                <c:pt idx="2">
                  <c:v>Coffee</c:v>
                </c:pt>
                <c:pt idx="3">
                  <c:v>Tea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1273672</c:v>
                </c:pt>
                <c:pt idx="1">
                  <c:v>1200282</c:v>
                </c:pt>
                <c:pt idx="2">
                  <c:v>1344027</c:v>
                </c:pt>
                <c:pt idx="3">
                  <c:v>1074526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4AC9-B0D5-1C9187F6C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6253487"/>
        <c:axId val="1802928511"/>
      </c:barChart>
      <c:catAx>
        <c:axId val="16462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928511"/>
        <c:crosses val="autoZero"/>
        <c:auto val="1"/>
        <c:lblAlgn val="ctr"/>
        <c:lblOffset val="100"/>
        <c:noMultiLvlLbl val="0"/>
      </c:catAx>
      <c:valAx>
        <c:axId val="18029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5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accent3"/>
      </a:solidFill>
      <a:round/>
    </a:ln>
    <a:effectLst>
      <a:glow rad="63500">
        <a:schemeClr val="accent3">
          <a:satMod val="175000"/>
          <a:alpha val="40000"/>
        </a:schemeClr>
      </a:glow>
      <a:innerShdw blurRad="114300">
        <a:prstClr val="black"/>
      </a:innerShdw>
    </a:effectLst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[Starbucks_Sales_Dataset_500Rows-1.xlsx]Sheet2!PivotTable5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Sheet2!$A$9:$A$12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Sheet2!$B$9:$B$12</c:f>
              <c:numCache>
                <c:formatCode>General</c:formatCode>
                <c:ptCount val="3"/>
                <c:pt idx="0">
                  <c:v>1579183</c:v>
                </c:pt>
                <c:pt idx="1">
                  <c:v>1480762</c:v>
                </c:pt>
                <c:pt idx="2">
                  <c:v>1832562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1-43E2-B558-7383991B0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accent3"/>
      </a:solidFill>
      <a:round/>
    </a:ln>
    <a:effectLst>
      <a:glow rad="63500">
        <a:schemeClr val="accent3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[Starbucks_Sales_Dataset_500Rows-1.xlsx]Sheet2!PivotTable6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26328484981044037"/>
          <c:w val="0.68391863517060369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Sheet2!$A$15:$A$21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Sheet2!$B$15:$B$21</c:f>
              <c:numCache>
                <c:formatCode>General</c:formatCode>
                <c:ptCount val="6"/>
                <c:pt idx="0">
                  <c:v>773789</c:v>
                </c:pt>
                <c:pt idx="1">
                  <c:v>850445</c:v>
                </c:pt>
                <c:pt idx="2">
                  <c:v>877716</c:v>
                </c:pt>
                <c:pt idx="3">
                  <c:v>784217</c:v>
                </c:pt>
                <c:pt idx="4">
                  <c:v>669226</c:v>
                </c:pt>
                <c:pt idx="5">
                  <c:v>937114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C-49D0-B19D-25EEC91D4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5013151"/>
        <c:axId val="1802876191"/>
      </c:lineChart>
      <c:catAx>
        <c:axId val="19550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876191"/>
        <c:crosses val="autoZero"/>
        <c:auto val="1"/>
        <c:lblAlgn val="ctr"/>
        <c:lblOffset val="100"/>
        <c:noMultiLvlLbl val="0"/>
      </c:catAx>
      <c:valAx>
        <c:axId val="18028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0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accent3"/>
      </a:solidFill>
      <a:round/>
    </a:ln>
    <a:effectLst>
      <a:glow rad="63500">
        <a:schemeClr val="accent3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Sheet2!$D$38:$D$261</c:f>
              <c:numCache>
                <c:formatCode>General</c:formatCode>
                <c:ptCount val="22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85</c:v>
                </c:pt>
                <c:pt idx="42">
                  <c:v>86</c:v>
                </c:pt>
                <c:pt idx="43">
                  <c:v>87</c:v>
                </c:pt>
                <c:pt idx="44">
                  <c:v>89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95</c:v>
                </c:pt>
                <c:pt idx="49">
                  <c:v>96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103</c:v>
                </c:pt>
                <c:pt idx="56">
                  <c:v>104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108</c:v>
                </c:pt>
                <c:pt idx="61">
                  <c:v>109</c:v>
                </c:pt>
                <c:pt idx="62">
                  <c:v>110</c:v>
                </c:pt>
                <c:pt idx="63">
                  <c:v>112</c:v>
                </c:pt>
                <c:pt idx="64">
                  <c:v>113</c:v>
                </c:pt>
                <c:pt idx="65">
                  <c:v>114</c:v>
                </c:pt>
                <c:pt idx="66">
                  <c:v>115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140</c:v>
                </c:pt>
                <c:pt idx="88">
                  <c:v>141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151</c:v>
                </c:pt>
                <c:pt idx="96">
                  <c:v>152</c:v>
                </c:pt>
                <c:pt idx="97">
                  <c:v>153</c:v>
                </c:pt>
                <c:pt idx="98">
                  <c:v>154</c:v>
                </c:pt>
                <c:pt idx="99">
                  <c:v>155</c:v>
                </c:pt>
                <c:pt idx="100">
                  <c:v>156</c:v>
                </c:pt>
                <c:pt idx="101">
                  <c:v>157</c:v>
                </c:pt>
                <c:pt idx="102">
                  <c:v>158</c:v>
                </c:pt>
                <c:pt idx="103">
                  <c:v>159</c:v>
                </c:pt>
                <c:pt idx="104">
                  <c:v>160</c:v>
                </c:pt>
                <c:pt idx="105">
                  <c:v>161</c:v>
                </c:pt>
                <c:pt idx="106">
                  <c:v>162</c:v>
                </c:pt>
                <c:pt idx="107">
                  <c:v>163</c:v>
                </c:pt>
                <c:pt idx="108">
                  <c:v>164</c:v>
                </c:pt>
                <c:pt idx="109">
                  <c:v>165</c:v>
                </c:pt>
                <c:pt idx="110">
                  <c:v>166</c:v>
                </c:pt>
                <c:pt idx="111">
                  <c:v>168</c:v>
                </c:pt>
                <c:pt idx="112">
                  <c:v>169</c:v>
                </c:pt>
                <c:pt idx="113">
                  <c:v>170</c:v>
                </c:pt>
                <c:pt idx="114">
                  <c:v>171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175</c:v>
                </c:pt>
                <c:pt idx="119">
                  <c:v>176</c:v>
                </c:pt>
                <c:pt idx="120">
                  <c:v>177</c:v>
                </c:pt>
                <c:pt idx="121">
                  <c:v>179</c:v>
                </c:pt>
                <c:pt idx="122">
                  <c:v>180</c:v>
                </c:pt>
                <c:pt idx="123">
                  <c:v>181</c:v>
                </c:pt>
                <c:pt idx="124">
                  <c:v>183</c:v>
                </c:pt>
                <c:pt idx="125">
                  <c:v>184</c:v>
                </c:pt>
                <c:pt idx="126">
                  <c:v>185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190</c:v>
                </c:pt>
                <c:pt idx="131">
                  <c:v>191</c:v>
                </c:pt>
                <c:pt idx="132">
                  <c:v>192</c:v>
                </c:pt>
                <c:pt idx="133">
                  <c:v>193</c:v>
                </c:pt>
                <c:pt idx="134">
                  <c:v>194</c:v>
                </c:pt>
                <c:pt idx="135">
                  <c:v>195</c:v>
                </c:pt>
                <c:pt idx="136">
                  <c:v>197</c:v>
                </c:pt>
                <c:pt idx="137">
                  <c:v>198</c:v>
                </c:pt>
                <c:pt idx="138">
                  <c:v>199</c:v>
                </c:pt>
                <c:pt idx="139">
                  <c:v>200</c:v>
                </c:pt>
                <c:pt idx="140">
                  <c:v>201</c:v>
                </c:pt>
                <c:pt idx="141">
                  <c:v>202</c:v>
                </c:pt>
                <c:pt idx="142">
                  <c:v>203</c:v>
                </c:pt>
                <c:pt idx="143">
                  <c:v>204</c:v>
                </c:pt>
                <c:pt idx="144">
                  <c:v>206</c:v>
                </c:pt>
                <c:pt idx="145">
                  <c:v>208</c:v>
                </c:pt>
                <c:pt idx="146">
                  <c:v>209</c:v>
                </c:pt>
                <c:pt idx="147">
                  <c:v>210</c:v>
                </c:pt>
                <c:pt idx="148">
                  <c:v>212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217</c:v>
                </c:pt>
                <c:pt idx="154">
                  <c:v>218</c:v>
                </c:pt>
                <c:pt idx="155">
                  <c:v>221</c:v>
                </c:pt>
                <c:pt idx="156">
                  <c:v>222</c:v>
                </c:pt>
                <c:pt idx="157">
                  <c:v>223</c:v>
                </c:pt>
                <c:pt idx="158">
                  <c:v>224</c:v>
                </c:pt>
                <c:pt idx="159">
                  <c:v>225</c:v>
                </c:pt>
                <c:pt idx="160">
                  <c:v>226</c:v>
                </c:pt>
                <c:pt idx="161">
                  <c:v>227</c:v>
                </c:pt>
                <c:pt idx="162">
                  <c:v>228</c:v>
                </c:pt>
                <c:pt idx="163">
                  <c:v>229</c:v>
                </c:pt>
                <c:pt idx="164">
                  <c:v>230</c:v>
                </c:pt>
                <c:pt idx="165">
                  <c:v>231</c:v>
                </c:pt>
                <c:pt idx="166">
                  <c:v>233</c:v>
                </c:pt>
                <c:pt idx="167">
                  <c:v>234</c:v>
                </c:pt>
                <c:pt idx="168">
                  <c:v>235</c:v>
                </c:pt>
                <c:pt idx="169">
                  <c:v>236</c:v>
                </c:pt>
                <c:pt idx="170">
                  <c:v>237</c:v>
                </c:pt>
                <c:pt idx="171">
                  <c:v>238</c:v>
                </c:pt>
                <c:pt idx="172">
                  <c:v>239</c:v>
                </c:pt>
                <c:pt idx="173">
                  <c:v>240</c:v>
                </c:pt>
                <c:pt idx="174">
                  <c:v>241</c:v>
                </c:pt>
                <c:pt idx="175">
                  <c:v>242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248</c:v>
                </c:pt>
                <c:pt idx="180">
                  <c:v>249</c:v>
                </c:pt>
                <c:pt idx="181">
                  <c:v>250</c:v>
                </c:pt>
                <c:pt idx="182">
                  <c:v>251</c:v>
                </c:pt>
                <c:pt idx="183">
                  <c:v>252</c:v>
                </c:pt>
                <c:pt idx="184">
                  <c:v>253</c:v>
                </c:pt>
                <c:pt idx="185">
                  <c:v>254</c:v>
                </c:pt>
                <c:pt idx="186">
                  <c:v>255</c:v>
                </c:pt>
                <c:pt idx="187">
                  <c:v>256</c:v>
                </c:pt>
                <c:pt idx="188">
                  <c:v>257</c:v>
                </c:pt>
                <c:pt idx="189">
                  <c:v>258</c:v>
                </c:pt>
                <c:pt idx="190">
                  <c:v>259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265</c:v>
                </c:pt>
                <c:pt idx="196">
                  <c:v>266</c:v>
                </c:pt>
                <c:pt idx="197">
                  <c:v>269</c:v>
                </c:pt>
                <c:pt idx="198">
                  <c:v>270</c:v>
                </c:pt>
                <c:pt idx="199">
                  <c:v>271</c:v>
                </c:pt>
                <c:pt idx="200">
                  <c:v>272</c:v>
                </c:pt>
                <c:pt idx="201">
                  <c:v>273</c:v>
                </c:pt>
                <c:pt idx="202">
                  <c:v>274</c:v>
                </c:pt>
                <c:pt idx="203">
                  <c:v>275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284</c:v>
                </c:pt>
                <c:pt idx="212">
                  <c:v>285</c:v>
                </c:pt>
                <c:pt idx="213">
                  <c:v>286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292</c:v>
                </c:pt>
                <c:pt idx="218">
                  <c:v>293</c:v>
                </c:pt>
                <c:pt idx="219">
                  <c:v>294</c:v>
                </c:pt>
                <c:pt idx="220">
                  <c:v>295</c:v>
                </c:pt>
                <c:pt idx="221">
                  <c:v>297</c:v>
                </c:pt>
                <c:pt idx="222">
                  <c:v>298</c:v>
                </c:pt>
                <c:pt idx="223">
                  <c:v>300</c:v>
                </c:pt>
              </c:numCache>
            </c:numRef>
          </c:xVal>
          <c:yVal>
            <c:numRef>
              <c:f>Sheet2!$E$38:$E$261</c:f>
              <c:numCache>
                <c:formatCode>General</c:formatCode>
                <c:ptCount val="224"/>
                <c:pt idx="0">
                  <c:v>9812</c:v>
                </c:pt>
                <c:pt idx="1">
                  <c:v>2500</c:v>
                </c:pt>
                <c:pt idx="2">
                  <c:v>2030</c:v>
                </c:pt>
                <c:pt idx="3">
                  <c:v>12768</c:v>
                </c:pt>
                <c:pt idx="4">
                  <c:v>5548.5</c:v>
                </c:pt>
                <c:pt idx="5">
                  <c:v>12948</c:v>
                </c:pt>
                <c:pt idx="6">
                  <c:v>10967.6</c:v>
                </c:pt>
                <c:pt idx="7">
                  <c:v>11347</c:v>
                </c:pt>
                <c:pt idx="8">
                  <c:v>3527</c:v>
                </c:pt>
                <c:pt idx="9">
                  <c:v>4983.5</c:v>
                </c:pt>
                <c:pt idx="10">
                  <c:v>11044</c:v>
                </c:pt>
                <c:pt idx="11">
                  <c:v>17192</c:v>
                </c:pt>
                <c:pt idx="12">
                  <c:v>9766.5</c:v>
                </c:pt>
                <c:pt idx="13">
                  <c:v>4161</c:v>
                </c:pt>
                <c:pt idx="14">
                  <c:v>12044.666666666666</c:v>
                </c:pt>
                <c:pt idx="15">
                  <c:v>9284</c:v>
                </c:pt>
                <c:pt idx="16">
                  <c:v>10005</c:v>
                </c:pt>
                <c:pt idx="17">
                  <c:v>10933.25</c:v>
                </c:pt>
                <c:pt idx="18">
                  <c:v>6541</c:v>
                </c:pt>
                <c:pt idx="19">
                  <c:v>12240</c:v>
                </c:pt>
                <c:pt idx="20">
                  <c:v>9406</c:v>
                </c:pt>
                <c:pt idx="21">
                  <c:v>7202</c:v>
                </c:pt>
                <c:pt idx="22">
                  <c:v>13926</c:v>
                </c:pt>
                <c:pt idx="23">
                  <c:v>5415</c:v>
                </c:pt>
                <c:pt idx="24">
                  <c:v>14331.75</c:v>
                </c:pt>
                <c:pt idx="25">
                  <c:v>8170</c:v>
                </c:pt>
                <c:pt idx="26">
                  <c:v>11655.5</c:v>
                </c:pt>
                <c:pt idx="27">
                  <c:v>6173</c:v>
                </c:pt>
                <c:pt idx="28">
                  <c:v>3927</c:v>
                </c:pt>
                <c:pt idx="29">
                  <c:v>10012.5</c:v>
                </c:pt>
                <c:pt idx="30">
                  <c:v>9751.75</c:v>
                </c:pt>
                <c:pt idx="31">
                  <c:v>18156</c:v>
                </c:pt>
                <c:pt idx="32">
                  <c:v>17466</c:v>
                </c:pt>
                <c:pt idx="33">
                  <c:v>4945</c:v>
                </c:pt>
                <c:pt idx="34">
                  <c:v>9030.3333333333339</c:v>
                </c:pt>
                <c:pt idx="35">
                  <c:v>15186.5</c:v>
                </c:pt>
                <c:pt idx="36">
                  <c:v>9862</c:v>
                </c:pt>
                <c:pt idx="37">
                  <c:v>7531.5</c:v>
                </c:pt>
                <c:pt idx="38">
                  <c:v>4874.666666666667</c:v>
                </c:pt>
                <c:pt idx="39">
                  <c:v>9939.6666666666661</c:v>
                </c:pt>
                <c:pt idx="40">
                  <c:v>9412</c:v>
                </c:pt>
                <c:pt idx="41">
                  <c:v>4598</c:v>
                </c:pt>
                <c:pt idx="42">
                  <c:v>10510.5</c:v>
                </c:pt>
                <c:pt idx="43">
                  <c:v>9620</c:v>
                </c:pt>
                <c:pt idx="44">
                  <c:v>6161</c:v>
                </c:pt>
                <c:pt idx="45">
                  <c:v>12146.75</c:v>
                </c:pt>
                <c:pt idx="46">
                  <c:v>9990</c:v>
                </c:pt>
                <c:pt idx="47">
                  <c:v>4452</c:v>
                </c:pt>
                <c:pt idx="48">
                  <c:v>12294</c:v>
                </c:pt>
                <c:pt idx="49">
                  <c:v>10063.5</c:v>
                </c:pt>
                <c:pt idx="50">
                  <c:v>6276</c:v>
                </c:pt>
                <c:pt idx="51">
                  <c:v>8686</c:v>
                </c:pt>
                <c:pt idx="52">
                  <c:v>6791.5</c:v>
                </c:pt>
                <c:pt idx="53">
                  <c:v>9303.25</c:v>
                </c:pt>
                <c:pt idx="54">
                  <c:v>6046.5</c:v>
                </c:pt>
                <c:pt idx="55">
                  <c:v>9393</c:v>
                </c:pt>
                <c:pt idx="56">
                  <c:v>9031.5</c:v>
                </c:pt>
                <c:pt idx="57">
                  <c:v>12774</c:v>
                </c:pt>
                <c:pt idx="58">
                  <c:v>12472.666666666666</c:v>
                </c:pt>
                <c:pt idx="59">
                  <c:v>3264</c:v>
                </c:pt>
                <c:pt idx="60">
                  <c:v>15950</c:v>
                </c:pt>
                <c:pt idx="61">
                  <c:v>14197</c:v>
                </c:pt>
                <c:pt idx="62">
                  <c:v>4736</c:v>
                </c:pt>
                <c:pt idx="63">
                  <c:v>10428.666666666666</c:v>
                </c:pt>
                <c:pt idx="64">
                  <c:v>9531.4</c:v>
                </c:pt>
                <c:pt idx="65">
                  <c:v>20436</c:v>
                </c:pt>
                <c:pt idx="66">
                  <c:v>14074.5</c:v>
                </c:pt>
                <c:pt idx="67">
                  <c:v>13540</c:v>
                </c:pt>
                <c:pt idx="68">
                  <c:v>15022</c:v>
                </c:pt>
                <c:pt idx="69">
                  <c:v>6572</c:v>
                </c:pt>
                <c:pt idx="70">
                  <c:v>11741</c:v>
                </c:pt>
                <c:pt idx="71">
                  <c:v>11000</c:v>
                </c:pt>
                <c:pt idx="72">
                  <c:v>2796.5</c:v>
                </c:pt>
                <c:pt idx="73">
                  <c:v>10650</c:v>
                </c:pt>
                <c:pt idx="74">
                  <c:v>9882</c:v>
                </c:pt>
                <c:pt idx="75">
                  <c:v>1935</c:v>
                </c:pt>
                <c:pt idx="76">
                  <c:v>5487.666666666667</c:v>
                </c:pt>
                <c:pt idx="77">
                  <c:v>9519</c:v>
                </c:pt>
                <c:pt idx="78">
                  <c:v>8061</c:v>
                </c:pt>
                <c:pt idx="79">
                  <c:v>6582</c:v>
                </c:pt>
                <c:pt idx="80">
                  <c:v>5205.333333333333</c:v>
                </c:pt>
                <c:pt idx="81">
                  <c:v>11301.333333333334</c:v>
                </c:pt>
                <c:pt idx="82">
                  <c:v>11023.5</c:v>
                </c:pt>
                <c:pt idx="83">
                  <c:v>7314</c:v>
                </c:pt>
                <c:pt idx="84">
                  <c:v>7416</c:v>
                </c:pt>
                <c:pt idx="85">
                  <c:v>8098.666666666667</c:v>
                </c:pt>
                <c:pt idx="86">
                  <c:v>8532.75</c:v>
                </c:pt>
                <c:pt idx="87">
                  <c:v>6584</c:v>
                </c:pt>
                <c:pt idx="88">
                  <c:v>13268</c:v>
                </c:pt>
                <c:pt idx="89">
                  <c:v>1938</c:v>
                </c:pt>
                <c:pt idx="90">
                  <c:v>9516.6666666666661</c:v>
                </c:pt>
                <c:pt idx="91">
                  <c:v>20123.5</c:v>
                </c:pt>
                <c:pt idx="92">
                  <c:v>5096</c:v>
                </c:pt>
                <c:pt idx="93">
                  <c:v>3312</c:v>
                </c:pt>
                <c:pt idx="94">
                  <c:v>4763.5</c:v>
                </c:pt>
                <c:pt idx="95">
                  <c:v>4579.5</c:v>
                </c:pt>
                <c:pt idx="96">
                  <c:v>1694</c:v>
                </c:pt>
                <c:pt idx="97">
                  <c:v>15570</c:v>
                </c:pt>
                <c:pt idx="98">
                  <c:v>3756</c:v>
                </c:pt>
                <c:pt idx="99">
                  <c:v>8580</c:v>
                </c:pt>
                <c:pt idx="100">
                  <c:v>12234</c:v>
                </c:pt>
                <c:pt idx="101">
                  <c:v>6251.666666666667</c:v>
                </c:pt>
                <c:pt idx="102">
                  <c:v>9906.5</c:v>
                </c:pt>
                <c:pt idx="103">
                  <c:v>3648</c:v>
                </c:pt>
                <c:pt idx="104">
                  <c:v>11802</c:v>
                </c:pt>
                <c:pt idx="105">
                  <c:v>8080</c:v>
                </c:pt>
                <c:pt idx="106">
                  <c:v>6378.666666666667</c:v>
                </c:pt>
                <c:pt idx="107">
                  <c:v>18392</c:v>
                </c:pt>
                <c:pt idx="108">
                  <c:v>6102</c:v>
                </c:pt>
                <c:pt idx="109">
                  <c:v>4893</c:v>
                </c:pt>
                <c:pt idx="110">
                  <c:v>11940.5</c:v>
                </c:pt>
                <c:pt idx="111">
                  <c:v>8668.3333333333339</c:v>
                </c:pt>
                <c:pt idx="112">
                  <c:v>7467</c:v>
                </c:pt>
                <c:pt idx="113">
                  <c:v>2005</c:v>
                </c:pt>
                <c:pt idx="114">
                  <c:v>11917</c:v>
                </c:pt>
                <c:pt idx="115">
                  <c:v>9250.5</c:v>
                </c:pt>
                <c:pt idx="116">
                  <c:v>12660</c:v>
                </c:pt>
                <c:pt idx="117">
                  <c:v>3632</c:v>
                </c:pt>
                <c:pt idx="118">
                  <c:v>18535</c:v>
                </c:pt>
                <c:pt idx="119">
                  <c:v>17368</c:v>
                </c:pt>
                <c:pt idx="120">
                  <c:v>10048.799999999999</c:v>
                </c:pt>
                <c:pt idx="121">
                  <c:v>4672</c:v>
                </c:pt>
                <c:pt idx="122">
                  <c:v>7766</c:v>
                </c:pt>
                <c:pt idx="123">
                  <c:v>10199.666666666666</c:v>
                </c:pt>
                <c:pt idx="124">
                  <c:v>8566.5</c:v>
                </c:pt>
                <c:pt idx="125">
                  <c:v>5970</c:v>
                </c:pt>
                <c:pt idx="126">
                  <c:v>8689.75</c:v>
                </c:pt>
                <c:pt idx="127">
                  <c:v>14894.6</c:v>
                </c:pt>
                <c:pt idx="128">
                  <c:v>8370</c:v>
                </c:pt>
                <c:pt idx="129">
                  <c:v>12977</c:v>
                </c:pt>
                <c:pt idx="130">
                  <c:v>2964</c:v>
                </c:pt>
                <c:pt idx="131">
                  <c:v>6936.333333333333</c:v>
                </c:pt>
                <c:pt idx="132">
                  <c:v>12200</c:v>
                </c:pt>
                <c:pt idx="133">
                  <c:v>6174</c:v>
                </c:pt>
                <c:pt idx="134">
                  <c:v>15319.666666666666</c:v>
                </c:pt>
                <c:pt idx="135">
                  <c:v>13614.333333333334</c:v>
                </c:pt>
                <c:pt idx="136">
                  <c:v>4752</c:v>
                </c:pt>
                <c:pt idx="137">
                  <c:v>9064.6666666666661</c:v>
                </c:pt>
                <c:pt idx="138">
                  <c:v>10950</c:v>
                </c:pt>
                <c:pt idx="139">
                  <c:v>6916.5</c:v>
                </c:pt>
                <c:pt idx="140">
                  <c:v>7882.666666666667</c:v>
                </c:pt>
                <c:pt idx="141">
                  <c:v>11073.666666666666</c:v>
                </c:pt>
                <c:pt idx="142">
                  <c:v>9686.75</c:v>
                </c:pt>
                <c:pt idx="143">
                  <c:v>13500</c:v>
                </c:pt>
                <c:pt idx="144">
                  <c:v>10792</c:v>
                </c:pt>
                <c:pt idx="145">
                  <c:v>12829</c:v>
                </c:pt>
                <c:pt idx="146">
                  <c:v>17986</c:v>
                </c:pt>
                <c:pt idx="147">
                  <c:v>4202</c:v>
                </c:pt>
                <c:pt idx="148">
                  <c:v>11867</c:v>
                </c:pt>
                <c:pt idx="149">
                  <c:v>7958.666666666667</c:v>
                </c:pt>
                <c:pt idx="150">
                  <c:v>7623</c:v>
                </c:pt>
                <c:pt idx="151">
                  <c:v>12980</c:v>
                </c:pt>
                <c:pt idx="152">
                  <c:v>12989.333333333334</c:v>
                </c:pt>
                <c:pt idx="153">
                  <c:v>10817</c:v>
                </c:pt>
                <c:pt idx="154">
                  <c:v>9990</c:v>
                </c:pt>
                <c:pt idx="155">
                  <c:v>8418</c:v>
                </c:pt>
                <c:pt idx="156">
                  <c:v>10640</c:v>
                </c:pt>
                <c:pt idx="157">
                  <c:v>6470</c:v>
                </c:pt>
                <c:pt idx="158">
                  <c:v>6592</c:v>
                </c:pt>
                <c:pt idx="159">
                  <c:v>10908.5</c:v>
                </c:pt>
                <c:pt idx="160">
                  <c:v>12407.333333333334</c:v>
                </c:pt>
                <c:pt idx="161">
                  <c:v>8740</c:v>
                </c:pt>
                <c:pt idx="162">
                  <c:v>18270</c:v>
                </c:pt>
                <c:pt idx="163">
                  <c:v>11338.5</c:v>
                </c:pt>
                <c:pt idx="164">
                  <c:v>9238</c:v>
                </c:pt>
                <c:pt idx="165">
                  <c:v>2951</c:v>
                </c:pt>
                <c:pt idx="166">
                  <c:v>7675.5</c:v>
                </c:pt>
                <c:pt idx="167">
                  <c:v>7165.333333333333</c:v>
                </c:pt>
                <c:pt idx="168">
                  <c:v>16000</c:v>
                </c:pt>
                <c:pt idx="169">
                  <c:v>9588.3333333333339</c:v>
                </c:pt>
                <c:pt idx="170">
                  <c:v>17492.5</c:v>
                </c:pt>
                <c:pt idx="171">
                  <c:v>10867.666666666666</c:v>
                </c:pt>
                <c:pt idx="172">
                  <c:v>8542</c:v>
                </c:pt>
                <c:pt idx="173">
                  <c:v>14060</c:v>
                </c:pt>
                <c:pt idx="174">
                  <c:v>4730</c:v>
                </c:pt>
                <c:pt idx="175">
                  <c:v>2178</c:v>
                </c:pt>
                <c:pt idx="176">
                  <c:v>9012.5</c:v>
                </c:pt>
                <c:pt idx="177">
                  <c:v>2807</c:v>
                </c:pt>
                <c:pt idx="178">
                  <c:v>14769.4</c:v>
                </c:pt>
                <c:pt idx="179">
                  <c:v>11832</c:v>
                </c:pt>
                <c:pt idx="180">
                  <c:v>2392</c:v>
                </c:pt>
                <c:pt idx="181">
                  <c:v>12975.75</c:v>
                </c:pt>
                <c:pt idx="182">
                  <c:v>3420</c:v>
                </c:pt>
                <c:pt idx="183">
                  <c:v>13284</c:v>
                </c:pt>
                <c:pt idx="184">
                  <c:v>9543.3333333333339</c:v>
                </c:pt>
                <c:pt idx="185">
                  <c:v>3208</c:v>
                </c:pt>
                <c:pt idx="186">
                  <c:v>10133</c:v>
                </c:pt>
                <c:pt idx="187">
                  <c:v>9591</c:v>
                </c:pt>
                <c:pt idx="188">
                  <c:v>10819</c:v>
                </c:pt>
                <c:pt idx="189">
                  <c:v>15593.5</c:v>
                </c:pt>
                <c:pt idx="190">
                  <c:v>9041.5</c:v>
                </c:pt>
                <c:pt idx="191">
                  <c:v>14644.5</c:v>
                </c:pt>
                <c:pt idx="192">
                  <c:v>17499</c:v>
                </c:pt>
                <c:pt idx="193">
                  <c:v>7845.333333333333</c:v>
                </c:pt>
                <c:pt idx="194">
                  <c:v>6512</c:v>
                </c:pt>
                <c:pt idx="195">
                  <c:v>15780</c:v>
                </c:pt>
                <c:pt idx="196">
                  <c:v>8250</c:v>
                </c:pt>
                <c:pt idx="197">
                  <c:v>9009</c:v>
                </c:pt>
                <c:pt idx="198">
                  <c:v>7787.5</c:v>
                </c:pt>
                <c:pt idx="199">
                  <c:v>9838.6666666666661</c:v>
                </c:pt>
                <c:pt idx="200">
                  <c:v>5106</c:v>
                </c:pt>
                <c:pt idx="201">
                  <c:v>8572.25</c:v>
                </c:pt>
                <c:pt idx="202">
                  <c:v>13052.75</c:v>
                </c:pt>
                <c:pt idx="203">
                  <c:v>9854</c:v>
                </c:pt>
                <c:pt idx="204">
                  <c:v>8694</c:v>
                </c:pt>
                <c:pt idx="205">
                  <c:v>9596</c:v>
                </c:pt>
                <c:pt idx="206">
                  <c:v>12906.333333333334</c:v>
                </c:pt>
                <c:pt idx="207">
                  <c:v>10791.666666666666</c:v>
                </c:pt>
                <c:pt idx="208">
                  <c:v>8692</c:v>
                </c:pt>
                <c:pt idx="209">
                  <c:v>6640</c:v>
                </c:pt>
                <c:pt idx="210">
                  <c:v>16642</c:v>
                </c:pt>
                <c:pt idx="211">
                  <c:v>10581.8</c:v>
                </c:pt>
                <c:pt idx="212">
                  <c:v>14410</c:v>
                </c:pt>
                <c:pt idx="213">
                  <c:v>3055</c:v>
                </c:pt>
                <c:pt idx="214">
                  <c:v>19342</c:v>
                </c:pt>
                <c:pt idx="215">
                  <c:v>8541.5</c:v>
                </c:pt>
                <c:pt idx="216">
                  <c:v>4180</c:v>
                </c:pt>
                <c:pt idx="217">
                  <c:v>6903.333333333333</c:v>
                </c:pt>
                <c:pt idx="218">
                  <c:v>12026.25</c:v>
                </c:pt>
                <c:pt idx="219">
                  <c:v>7835</c:v>
                </c:pt>
                <c:pt idx="220">
                  <c:v>17130.75</c:v>
                </c:pt>
                <c:pt idx="221">
                  <c:v>15524</c:v>
                </c:pt>
                <c:pt idx="222">
                  <c:v>8976.6666666666661</c:v>
                </c:pt>
                <c:pt idx="223">
                  <c:v>6919.5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F-4606-9268-79D1434AF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5424943"/>
        <c:axId val="1970169087"/>
      </c:scatterChart>
      <c:valAx>
        <c:axId val="197542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69087"/>
        <c:crosses val="autoZero"/>
        <c:crossBetween val="midCat"/>
      </c:valAx>
      <c:valAx>
        <c:axId val="19701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2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accent3"/>
      </a:solidFill>
      <a:round/>
    </a:ln>
    <a:effectLst>
      <a:glow rad="63500">
        <a:schemeClr val="accent3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0</xdr:row>
      <xdr:rowOff>0</xdr:rowOff>
    </xdr:from>
    <xdr:to>
      <xdr:col>15</xdr:col>
      <xdr:colOff>25400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F7679-F136-DAEF-E246-342699672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79375</xdr:rowOff>
    </xdr:from>
    <xdr:to>
      <xdr:col>15</xdr:col>
      <xdr:colOff>25400</xdr:colOff>
      <xdr:row>23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EB7AFE-F43E-4C7C-AC5F-09F3D07B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558800</xdr:colOff>
      <xdr:row>24</xdr:row>
      <xdr:rowOff>0</xdr:rowOff>
    </xdr:from>
    <xdr:to>
      <xdr:col>15</xdr:col>
      <xdr:colOff>6350</xdr:colOff>
      <xdr:row>36</xdr:row>
      <xdr:rowOff>184149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E50224-7A38-DE39-CA90-96C0FC32A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523876</xdr:colOff>
      <xdr:row>37</xdr:row>
      <xdr:rowOff>168275</xdr:rowOff>
    </xdr:from>
    <xdr:to>
      <xdr:col>15</xdr:col>
      <xdr:colOff>95251</xdr:colOff>
      <xdr:row>52</xdr:row>
      <xdr:rowOff>173038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636DB9-CEB7-028F-9BB9-A8BF1268A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3.454593634262" createdVersion="8" refreshedVersion="8" minRefreshableVersion="3" recordCount="500" xr:uid="{015264F8-9D4A-4E04-9C03-EB3CF2E7C60B}">
  <cacheSource type="worksheet">
    <worksheetSource name="Table1"/>
  </cacheSource>
  <cacheFields count="30">
    <cacheField name="Store ID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/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/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/>
    </cacheField>
    <cacheField name="Daily High Sales" numFmtId="0">
      <sharedItems containsSemiMixedTypes="0" containsString="0" containsNumber="1" containsInteger="1" minValue="6408" maxValue="19517"/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/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s v="India"/>
    <x v="0"/>
    <s v="Bengaluru"/>
    <s v="South"/>
    <x v="0"/>
    <x v="0"/>
    <x v="0"/>
    <x v="0"/>
    <s v="Neha"/>
    <n v="45"/>
    <n v="13950"/>
    <n v="9888.8700000000008"/>
    <n v="4061.13"/>
    <x v="0"/>
    <n v="3.5"/>
    <n v="5"/>
    <x v="0"/>
    <s v="Premium"/>
    <s v="Refunded"/>
    <n v="12.97"/>
    <n v="77.59"/>
    <n v="5966"/>
    <n v="8704"/>
    <n v="4474"/>
    <n v="4863"/>
    <x v="0"/>
  </r>
  <r>
    <n v="1001"/>
    <s v="Starbucks New Delhi"/>
    <s v="India"/>
    <x v="1"/>
    <s v="New Delhi"/>
    <s v="North"/>
    <x v="1"/>
    <x v="1"/>
    <x v="0"/>
    <x v="1"/>
    <s v="Anu"/>
    <n v="37"/>
    <n v="8029"/>
    <n v="4892.72"/>
    <n v="3136.28"/>
    <x v="0"/>
    <n v="4.4000000000000004"/>
    <n v="5"/>
    <x v="1"/>
    <s v="Gold"/>
    <s v="Refunded"/>
    <n v="28.61"/>
    <n v="77.2"/>
    <n v="9184"/>
    <n v="13268"/>
    <n v="7358"/>
    <n v="11973"/>
    <x v="0"/>
  </r>
  <r>
    <n v="1002"/>
    <s v="Starbucks Mumbai"/>
    <s v="India"/>
    <x v="2"/>
    <s v="Mumbai"/>
    <s v="West"/>
    <x v="2"/>
    <x v="2"/>
    <x v="0"/>
    <x v="0"/>
    <s v="Anu"/>
    <n v="60"/>
    <n v="11220"/>
    <n v="6870.76"/>
    <n v="4349.24"/>
    <x v="1"/>
    <n v="4"/>
    <n v="15"/>
    <x v="0"/>
    <s v="Gold"/>
    <s v="Completed"/>
    <n v="19.07"/>
    <n v="72.87"/>
    <n v="5082"/>
    <n v="8216"/>
    <n v="3889"/>
    <n v="5876"/>
    <x v="1"/>
  </r>
  <r>
    <n v="1003"/>
    <s v="Starbucks New Delhi"/>
    <s v="India"/>
    <x v="1"/>
    <s v="New Delhi"/>
    <s v="North"/>
    <x v="3"/>
    <x v="1"/>
    <x v="1"/>
    <x v="2"/>
    <s v="Vivek"/>
    <n v="41"/>
    <n v="10742"/>
    <n v="7089.12"/>
    <n v="3652.88"/>
    <x v="2"/>
    <n v="3.9"/>
    <n v="0"/>
    <x v="1"/>
    <s v="Premium"/>
    <s v="Completed"/>
    <n v="28.61"/>
    <n v="77.2"/>
    <n v="7855"/>
    <n v="12376"/>
    <n v="7292"/>
    <n v="7602"/>
    <x v="1"/>
  </r>
  <r>
    <n v="1004"/>
    <s v="Starbucks Chennai"/>
    <s v="India"/>
    <x v="3"/>
    <s v="Chennai"/>
    <s v="South"/>
    <x v="4"/>
    <x v="0"/>
    <x v="0"/>
    <x v="1"/>
    <s v="Anu"/>
    <n v="23"/>
    <n v="7314"/>
    <n v="4988.03"/>
    <n v="2325.9699999999998"/>
    <x v="3"/>
    <n v="4.5999999999999996"/>
    <n v="0"/>
    <x v="1"/>
    <s v="Premium"/>
    <s v="Refunded"/>
    <n v="13.08"/>
    <n v="80.27"/>
    <n v="12587"/>
    <n v="17587"/>
    <n v="11238"/>
    <n v="16541"/>
    <x v="2"/>
  </r>
  <r>
    <n v="1005"/>
    <s v="Starbucks Chennai"/>
    <s v="India"/>
    <x v="3"/>
    <s v="Chennai"/>
    <s v="South"/>
    <x v="5"/>
    <x v="1"/>
    <x v="0"/>
    <x v="1"/>
    <s v="Vivek"/>
    <n v="60"/>
    <n v="12000"/>
    <n v="8447.36"/>
    <n v="3552.64"/>
    <x v="4"/>
    <n v="4.5"/>
    <n v="0"/>
    <x v="2"/>
    <s v="Premium"/>
    <s v="Refunded"/>
    <n v="13.08"/>
    <n v="80.27"/>
    <n v="14450"/>
    <n v="19115"/>
    <n v="13070"/>
    <n v="15246"/>
    <x v="2"/>
  </r>
  <r>
    <n v="1006"/>
    <s v="Starbucks Kochi"/>
    <s v="India"/>
    <x v="4"/>
    <s v="Kochi"/>
    <s v="South"/>
    <x v="6"/>
    <x v="3"/>
    <x v="2"/>
    <x v="3"/>
    <s v="Neha"/>
    <n v="46"/>
    <n v="16560"/>
    <n v="12535.31"/>
    <n v="4024.69"/>
    <x v="5"/>
    <n v="3.9"/>
    <n v="15"/>
    <x v="0"/>
    <s v="Premium"/>
    <s v="Completed"/>
    <n v="9.93"/>
    <n v="76.260000000000005"/>
    <n v="7044"/>
    <n v="10938"/>
    <n v="6499"/>
    <n v="8440"/>
    <x v="0"/>
  </r>
  <r>
    <n v="1007"/>
    <s v="Starbucks Mumbai"/>
    <s v="India"/>
    <x v="2"/>
    <s v="Mumbai"/>
    <s v="West"/>
    <x v="7"/>
    <x v="4"/>
    <x v="2"/>
    <x v="4"/>
    <s v="Asha"/>
    <n v="16"/>
    <n v="4736"/>
    <n v="3562.82"/>
    <n v="1173.18"/>
    <x v="6"/>
    <n v="3.6"/>
    <n v="5"/>
    <x v="2"/>
    <s v="Gold"/>
    <s v="Completed"/>
    <n v="19.07"/>
    <n v="72.87"/>
    <n v="7980"/>
    <n v="11220"/>
    <n v="6364"/>
    <n v="9448"/>
    <x v="1"/>
  </r>
  <r>
    <n v="1008"/>
    <s v="Starbucks Chennai"/>
    <s v="India"/>
    <x v="3"/>
    <s v="Chennai"/>
    <s v="South"/>
    <x v="5"/>
    <x v="1"/>
    <x v="1"/>
    <x v="2"/>
    <s v="Vivek"/>
    <n v="43"/>
    <n v="11610"/>
    <n v="8721.7800000000007"/>
    <n v="2888.22"/>
    <x v="7"/>
    <n v="4"/>
    <n v="15"/>
    <x v="2"/>
    <s v="Gold"/>
    <s v="Cancelled"/>
    <n v="13.08"/>
    <n v="80.27"/>
    <n v="14281"/>
    <n v="18063"/>
    <n v="13152"/>
    <n v="16639"/>
    <x v="1"/>
  </r>
  <r>
    <n v="1009"/>
    <s v="Starbucks Mumbai"/>
    <s v="India"/>
    <x v="2"/>
    <s v="Mumbai"/>
    <s v="West"/>
    <x v="8"/>
    <x v="5"/>
    <x v="2"/>
    <x v="3"/>
    <s v="Anu"/>
    <n v="31"/>
    <n v="11780"/>
    <n v="7974.07"/>
    <n v="3805.93"/>
    <x v="8"/>
    <n v="4.5"/>
    <n v="15"/>
    <x v="2"/>
    <s v="Regular"/>
    <s v="Refunded"/>
    <n v="19.07"/>
    <n v="72.87"/>
    <n v="10088"/>
    <n v="12110"/>
    <n v="9386"/>
    <n v="11334"/>
    <x v="2"/>
  </r>
  <r>
    <n v="1010"/>
    <s v="Starbucks Chennai"/>
    <s v="India"/>
    <x v="3"/>
    <s v="Chennai"/>
    <s v="South"/>
    <x v="9"/>
    <x v="3"/>
    <x v="0"/>
    <x v="5"/>
    <s v="Rahul"/>
    <n v="31"/>
    <n v="6541"/>
    <n v="5192.53"/>
    <n v="1348.47"/>
    <x v="9"/>
    <n v="5"/>
    <n v="15"/>
    <x v="0"/>
    <s v="Regular"/>
    <s v="Cancelled"/>
    <n v="13.08"/>
    <n v="80.27"/>
    <n v="12606"/>
    <n v="14519"/>
    <n v="10953"/>
    <n v="13785"/>
    <x v="3"/>
  </r>
  <r>
    <n v="1011"/>
    <s v="Starbucks Mumbai"/>
    <s v="India"/>
    <x v="2"/>
    <s v="Mumbai"/>
    <s v="West"/>
    <x v="10"/>
    <x v="4"/>
    <x v="3"/>
    <x v="6"/>
    <s v="Asha"/>
    <n v="7"/>
    <n v="1834"/>
    <n v="1151.6199999999999"/>
    <n v="682.38"/>
    <x v="10"/>
    <n v="3.6"/>
    <n v="0"/>
    <x v="2"/>
    <s v="Regular"/>
    <s v="Cancelled"/>
    <n v="19.07"/>
    <n v="72.87"/>
    <n v="10397"/>
    <n v="14089"/>
    <n v="9103"/>
    <n v="10217"/>
    <x v="0"/>
  </r>
  <r>
    <n v="1012"/>
    <s v="Starbucks Chennai"/>
    <s v="India"/>
    <x v="3"/>
    <s v="Chennai"/>
    <s v="South"/>
    <x v="11"/>
    <x v="0"/>
    <x v="2"/>
    <x v="4"/>
    <s v="Anu"/>
    <n v="40"/>
    <n v="11680"/>
    <n v="7550.53"/>
    <n v="4129.47"/>
    <x v="11"/>
    <n v="3.9"/>
    <n v="10"/>
    <x v="2"/>
    <s v="Regular"/>
    <s v="Cancelled"/>
    <n v="13.08"/>
    <n v="80.27"/>
    <n v="5038"/>
    <n v="6408"/>
    <n v="4083"/>
    <n v="5913"/>
    <x v="3"/>
  </r>
  <r>
    <n v="1013"/>
    <s v="Starbucks Bengaluru"/>
    <s v="India"/>
    <x v="0"/>
    <s v="Bengaluru"/>
    <s v="South"/>
    <x v="7"/>
    <x v="4"/>
    <x v="3"/>
    <x v="7"/>
    <s v="Rahul"/>
    <n v="41"/>
    <n v="14555"/>
    <n v="8920.1299999999992"/>
    <n v="5634.87"/>
    <x v="12"/>
    <n v="4.0999999999999996"/>
    <n v="15"/>
    <x v="2"/>
    <s v="Regular"/>
    <s v="Cancelled"/>
    <n v="12.97"/>
    <n v="77.59"/>
    <n v="12747"/>
    <n v="16625"/>
    <n v="11681"/>
    <n v="13991"/>
    <x v="3"/>
  </r>
  <r>
    <n v="1014"/>
    <s v="Starbucks Bengaluru"/>
    <s v="India"/>
    <x v="0"/>
    <s v="Bengaluru"/>
    <s v="South"/>
    <x v="12"/>
    <x v="4"/>
    <x v="1"/>
    <x v="2"/>
    <s v="Anu"/>
    <n v="5"/>
    <n v="1785"/>
    <n v="1161.92"/>
    <n v="623.08000000000004"/>
    <x v="13"/>
    <n v="3.5"/>
    <n v="0"/>
    <x v="2"/>
    <s v="Gold"/>
    <s v="Completed"/>
    <n v="12.97"/>
    <n v="77.59"/>
    <n v="10623"/>
    <n v="14600"/>
    <n v="9635"/>
    <n v="9950"/>
    <x v="2"/>
  </r>
  <r>
    <n v="1015"/>
    <s v="Starbucks Bengaluru"/>
    <s v="India"/>
    <x v="0"/>
    <s v="Bengaluru"/>
    <s v="South"/>
    <x v="13"/>
    <x v="4"/>
    <x v="1"/>
    <x v="8"/>
    <s v="Neha"/>
    <n v="30"/>
    <n v="7500"/>
    <n v="4228.68"/>
    <n v="3271.32"/>
    <x v="14"/>
    <n v="3.6"/>
    <n v="15"/>
    <x v="0"/>
    <s v="Regular"/>
    <s v="Refunded"/>
    <n v="12.97"/>
    <n v="77.59"/>
    <n v="12851"/>
    <n v="15117"/>
    <n v="12253"/>
    <n v="13102"/>
    <x v="2"/>
  </r>
  <r>
    <n v="1016"/>
    <s v="Starbucks Mumbai"/>
    <s v="India"/>
    <x v="2"/>
    <s v="Mumbai"/>
    <s v="West"/>
    <x v="14"/>
    <x v="5"/>
    <x v="3"/>
    <x v="7"/>
    <s v="Rahul"/>
    <n v="16"/>
    <n v="4272"/>
    <n v="2842.84"/>
    <n v="1429.16"/>
    <x v="15"/>
    <n v="4.3"/>
    <n v="5"/>
    <x v="0"/>
    <s v="Premium"/>
    <s v="Cancelled"/>
    <n v="19.07"/>
    <n v="72.87"/>
    <n v="13385"/>
    <n v="14466"/>
    <n v="12639"/>
    <n v="13397"/>
    <x v="0"/>
  </r>
  <r>
    <n v="1017"/>
    <s v="Starbucks Chennai"/>
    <s v="India"/>
    <x v="3"/>
    <s v="Chennai"/>
    <s v="South"/>
    <x v="15"/>
    <x v="3"/>
    <x v="1"/>
    <x v="2"/>
    <s v="Rahul"/>
    <n v="56"/>
    <n v="17192"/>
    <n v="11036.81"/>
    <n v="6155.19"/>
    <x v="16"/>
    <n v="4.7"/>
    <n v="15"/>
    <x v="1"/>
    <s v="Premium"/>
    <s v="Cancelled"/>
    <n v="13.08"/>
    <n v="80.27"/>
    <n v="12354"/>
    <n v="16086"/>
    <n v="11464"/>
    <n v="11942"/>
    <x v="0"/>
  </r>
  <r>
    <n v="1018"/>
    <s v="Starbucks Mumbai"/>
    <s v="India"/>
    <x v="2"/>
    <s v="Mumbai"/>
    <s v="West"/>
    <x v="16"/>
    <x v="0"/>
    <x v="1"/>
    <x v="8"/>
    <s v="Anu"/>
    <n v="35"/>
    <n v="6650"/>
    <n v="4766.3"/>
    <n v="1883.7"/>
    <x v="17"/>
    <n v="4.4000000000000004"/>
    <n v="5"/>
    <x v="1"/>
    <s v="Gold"/>
    <s v="Cancelled"/>
    <n v="19.07"/>
    <n v="72.87"/>
    <n v="6638"/>
    <n v="8803"/>
    <n v="5531"/>
    <n v="5858"/>
    <x v="3"/>
  </r>
  <r>
    <n v="1019"/>
    <s v="Starbucks Chennai"/>
    <s v="India"/>
    <x v="3"/>
    <s v="Chennai"/>
    <s v="South"/>
    <x v="17"/>
    <x v="0"/>
    <x v="3"/>
    <x v="7"/>
    <s v="Rahul"/>
    <n v="40"/>
    <n v="11680"/>
    <n v="7597.2"/>
    <n v="4082.8"/>
    <x v="18"/>
    <n v="4.7"/>
    <n v="10"/>
    <x v="1"/>
    <s v="Gold"/>
    <s v="Refunded"/>
    <n v="13.08"/>
    <n v="80.27"/>
    <n v="12435"/>
    <n v="16171"/>
    <n v="11234"/>
    <n v="14561"/>
    <x v="1"/>
  </r>
  <r>
    <n v="1020"/>
    <s v="Starbucks New Delhi"/>
    <s v="India"/>
    <x v="1"/>
    <s v="New Delhi"/>
    <s v="North"/>
    <x v="18"/>
    <x v="1"/>
    <x v="3"/>
    <x v="7"/>
    <s v="Vivek"/>
    <n v="7"/>
    <n v="2401"/>
    <n v="1685.95"/>
    <n v="715.05"/>
    <x v="19"/>
    <n v="4.8"/>
    <n v="0"/>
    <x v="0"/>
    <s v="Premium"/>
    <s v="Refunded"/>
    <n v="28.61"/>
    <n v="77.2"/>
    <n v="10701"/>
    <n v="14442"/>
    <n v="9297"/>
    <n v="12235"/>
    <x v="2"/>
  </r>
  <r>
    <n v="1021"/>
    <s v="Starbucks Kochi"/>
    <s v="India"/>
    <x v="4"/>
    <s v="Kochi"/>
    <s v="South"/>
    <x v="19"/>
    <x v="2"/>
    <x v="3"/>
    <x v="6"/>
    <s v="Rahul"/>
    <n v="35"/>
    <n v="14070"/>
    <n v="8188.83"/>
    <n v="5881.17"/>
    <x v="20"/>
    <n v="3.8"/>
    <n v="10"/>
    <x v="0"/>
    <s v="Gold"/>
    <s v="Cancelled"/>
    <n v="9.93"/>
    <n v="76.260000000000005"/>
    <n v="14505"/>
    <n v="16785"/>
    <n v="13737"/>
    <n v="14497"/>
    <x v="3"/>
  </r>
  <r>
    <n v="1022"/>
    <s v="Starbucks Chennai"/>
    <s v="India"/>
    <x v="3"/>
    <s v="Chennai"/>
    <s v="South"/>
    <x v="10"/>
    <x v="4"/>
    <x v="0"/>
    <x v="1"/>
    <s v="Rahul"/>
    <n v="51"/>
    <n v="15147"/>
    <n v="9290.42"/>
    <n v="5856.58"/>
    <x v="21"/>
    <n v="4.3"/>
    <n v="0"/>
    <x v="2"/>
    <s v="Premium"/>
    <s v="Refunded"/>
    <n v="13.08"/>
    <n v="80.27"/>
    <n v="7839"/>
    <n v="12060"/>
    <n v="6379"/>
    <n v="6837"/>
    <x v="3"/>
  </r>
  <r>
    <n v="1023"/>
    <s v="Starbucks Mumbai"/>
    <s v="India"/>
    <x v="2"/>
    <s v="Mumbai"/>
    <s v="West"/>
    <x v="20"/>
    <x v="0"/>
    <x v="1"/>
    <x v="8"/>
    <s v="Anu"/>
    <n v="60"/>
    <n v="12240"/>
    <n v="7229.22"/>
    <n v="5010.78"/>
    <x v="22"/>
    <n v="3.5"/>
    <n v="5"/>
    <x v="0"/>
    <s v="Regular"/>
    <s v="Completed"/>
    <n v="19.07"/>
    <n v="72.87"/>
    <n v="12737"/>
    <n v="16285"/>
    <n v="11601"/>
    <n v="13496"/>
    <x v="3"/>
  </r>
  <r>
    <n v="1024"/>
    <s v="Starbucks Mumbai"/>
    <s v="India"/>
    <x v="2"/>
    <s v="Mumbai"/>
    <s v="West"/>
    <x v="21"/>
    <x v="4"/>
    <x v="2"/>
    <x v="4"/>
    <s v="Rahul"/>
    <n v="19"/>
    <n v="4161"/>
    <n v="2947.31"/>
    <n v="1213.69"/>
    <x v="23"/>
    <n v="4.2"/>
    <n v="5"/>
    <x v="1"/>
    <s v="Regular"/>
    <s v="Cancelled"/>
    <n v="19.07"/>
    <n v="72.87"/>
    <n v="8173"/>
    <n v="11097"/>
    <n v="6175"/>
    <n v="9304"/>
    <x v="0"/>
  </r>
  <r>
    <n v="1025"/>
    <s v="Starbucks New Delhi"/>
    <s v="India"/>
    <x v="1"/>
    <s v="New Delhi"/>
    <s v="North"/>
    <x v="22"/>
    <x v="2"/>
    <x v="2"/>
    <x v="3"/>
    <s v="Neha"/>
    <n v="11"/>
    <n v="3927"/>
    <n v="2831.58"/>
    <n v="1095.42"/>
    <x v="24"/>
    <n v="4.7"/>
    <n v="5"/>
    <x v="2"/>
    <s v="Premium"/>
    <s v="Cancelled"/>
    <n v="28.61"/>
    <n v="77.2"/>
    <n v="14533"/>
    <n v="15967"/>
    <n v="13543"/>
    <n v="14713"/>
    <x v="0"/>
  </r>
  <r>
    <n v="1026"/>
    <s v="Starbucks Kochi"/>
    <s v="India"/>
    <x v="4"/>
    <s v="Kochi"/>
    <s v="South"/>
    <x v="23"/>
    <x v="0"/>
    <x v="1"/>
    <x v="2"/>
    <s v="Vivek"/>
    <n v="9"/>
    <n v="2547"/>
    <n v="1997.22"/>
    <n v="549.78"/>
    <x v="25"/>
    <n v="3.5"/>
    <n v="10"/>
    <x v="1"/>
    <s v="Regular"/>
    <s v="Refunded"/>
    <n v="9.93"/>
    <n v="76.260000000000005"/>
    <n v="9447"/>
    <n v="13236"/>
    <n v="8432"/>
    <n v="10068"/>
    <x v="1"/>
  </r>
  <r>
    <n v="1027"/>
    <s v="Starbucks Mumbai"/>
    <s v="India"/>
    <x v="2"/>
    <s v="Mumbai"/>
    <s v="West"/>
    <x v="24"/>
    <x v="4"/>
    <x v="3"/>
    <x v="7"/>
    <s v="Anu"/>
    <n v="36"/>
    <n v="13284"/>
    <n v="9398.85"/>
    <n v="3885.15"/>
    <x v="26"/>
    <n v="3.7"/>
    <n v="5"/>
    <x v="1"/>
    <s v="Premium"/>
    <s v="Completed"/>
    <n v="19.07"/>
    <n v="72.87"/>
    <n v="8858"/>
    <n v="11175"/>
    <n v="7592"/>
    <n v="8486"/>
    <x v="3"/>
  </r>
  <r>
    <n v="1028"/>
    <s v="Starbucks Mumbai"/>
    <s v="India"/>
    <x v="2"/>
    <s v="Mumbai"/>
    <s v="West"/>
    <x v="25"/>
    <x v="2"/>
    <x v="0"/>
    <x v="1"/>
    <s v="Vivek"/>
    <n v="20"/>
    <n v="8080"/>
    <n v="4934.55"/>
    <n v="3145.45"/>
    <x v="27"/>
    <n v="4.5"/>
    <n v="5"/>
    <x v="0"/>
    <s v="Premium"/>
    <s v="Cancelled"/>
    <n v="19.07"/>
    <n v="72.87"/>
    <n v="11009"/>
    <n v="12208"/>
    <n v="10453"/>
    <n v="11404"/>
    <x v="1"/>
  </r>
  <r>
    <n v="1029"/>
    <s v="Starbucks New Delhi"/>
    <s v="India"/>
    <x v="1"/>
    <s v="New Delhi"/>
    <s v="North"/>
    <x v="26"/>
    <x v="0"/>
    <x v="3"/>
    <x v="6"/>
    <s v="Vivek"/>
    <n v="22"/>
    <n v="8954"/>
    <n v="5498.05"/>
    <n v="3455.95"/>
    <x v="28"/>
    <n v="4.8"/>
    <n v="10"/>
    <x v="1"/>
    <s v="Regular"/>
    <s v="Refunded"/>
    <n v="28.61"/>
    <n v="77.2"/>
    <n v="13010"/>
    <n v="16441"/>
    <n v="12444"/>
    <n v="14721"/>
    <x v="0"/>
  </r>
  <r>
    <n v="1030"/>
    <s v="Starbucks New Delhi"/>
    <s v="India"/>
    <x v="1"/>
    <s v="New Delhi"/>
    <s v="North"/>
    <x v="27"/>
    <x v="1"/>
    <x v="0"/>
    <x v="0"/>
    <s v="Asha"/>
    <n v="31"/>
    <n v="6014"/>
    <n v="4789.9799999999996"/>
    <n v="1224.02"/>
    <x v="10"/>
    <n v="4"/>
    <n v="15"/>
    <x v="2"/>
    <s v="Regular"/>
    <s v="Completed"/>
    <n v="28.61"/>
    <n v="77.2"/>
    <n v="8845"/>
    <n v="10192"/>
    <n v="7323"/>
    <n v="8878"/>
    <x v="1"/>
  </r>
  <r>
    <n v="1031"/>
    <s v="Starbucks Bengaluru"/>
    <s v="India"/>
    <x v="0"/>
    <s v="Bengaluru"/>
    <s v="South"/>
    <x v="28"/>
    <x v="2"/>
    <x v="1"/>
    <x v="2"/>
    <s v="Vivek"/>
    <n v="38"/>
    <n v="10678"/>
    <n v="7524.35"/>
    <n v="3153.65"/>
    <x v="7"/>
    <n v="4"/>
    <n v="0"/>
    <x v="0"/>
    <s v="Gold"/>
    <s v="Refunded"/>
    <n v="12.97"/>
    <n v="77.59"/>
    <n v="11953"/>
    <n v="15687"/>
    <n v="10498"/>
    <n v="13723"/>
    <x v="3"/>
  </r>
  <r>
    <n v="1032"/>
    <s v="Starbucks Mumbai"/>
    <s v="India"/>
    <x v="2"/>
    <s v="Mumbai"/>
    <s v="West"/>
    <x v="29"/>
    <x v="2"/>
    <x v="1"/>
    <x v="8"/>
    <s v="Vivek"/>
    <n v="13"/>
    <n v="3055"/>
    <n v="1967.61"/>
    <n v="1087.3900000000001"/>
    <x v="29"/>
    <n v="4.7"/>
    <n v="15"/>
    <x v="2"/>
    <s v="Premium"/>
    <s v="Refunded"/>
    <n v="19.07"/>
    <n v="72.87"/>
    <n v="9456"/>
    <n v="13438"/>
    <n v="8466"/>
    <n v="12933"/>
    <x v="2"/>
  </r>
  <r>
    <n v="1033"/>
    <s v="Starbucks New Delhi"/>
    <s v="India"/>
    <x v="1"/>
    <s v="New Delhi"/>
    <s v="North"/>
    <x v="30"/>
    <x v="5"/>
    <x v="0"/>
    <x v="1"/>
    <s v="Rahul"/>
    <n v="37"/>
    <n v="14319"/>
    <n v="8402.4599999999991"/>
    <n v="5916.54"/>
    <x v="30"/>
    <n v="4.5999999999999996"/>
    <n v="0"/>
    <x v="2"/>
    <s v="Gold"/>
    <s v="Cancelled"/>
    <n v="28.61"/>
    <n v="77.2"/>
    <n v="7074"/>
    <n v="10226"/>
    <n v="5764"/>
    <n v="6758"/>
    <x v="2"/>
  </r>
  <r>
    <n v="1034"/>
    <s v="Starbucks New Delhi"/>
    <s v="India"/>
    <x v="1"/>
    <s v="New Delhi"/>
    <s v="North"/>
    <x v="31"/>
    <x v="3"/>
    <x v="0"/>
    <x v="5"/>
    <s v="Neha"/>
    <n v="14"/>
    <n v="5516"/>
    <n v="4369.97"/>
    <n v="1146.03"/>
    <x v="17"/>
    <n v="4.3"/>
    <n v="5"/>
    <x v="2"/>
    <s v="Premium"/>
    <s v="Refunded"/>
    <n v="28.61"/>
    <n v="77.2"/>
    <n v="14791"/>
    <n v="17440"/>
    <n v="12952"/>
    <n v="15702"/>
    <x v="1"/>
  </r>
  <r>
    <n v="1035"/>
    <s v="Starbucks Bengaluru"/>
    <s v="India"/>
    <x v="0"/>
    <s v="Bengaluru"/>
    <s v="South"/>
    <x v="11"/>
    <x v="0"/>
    <x v="2"/>
    <x v="3"/>
    <s v="Rahul"/>
    <n v="53"/>
    <n v="16006"/>
    <n v="12537.26"/>
    <n v="3468.74"/>
    <x v="1"/>
    <n v="3.9"/>
    <n v="15"/>
    <x v="1"/>
    <s v="Gold"/>
    <s v="Completed"/>
    <n v="12.97"/>
    <n v="77.59"/>
    <n v="5827"/>
    <n v="7474"/>
    <n v="4601"/>
    <n v="6433"/>
    <x v="3"/>
  </r>
  <r>
    <n v="1036"/>
    <s v="Starbucks Mumbai"/>
    <s v="India"/>
    <x v="2"/>
    <s v="Mumbai"/>
    <s v="West"/>
    <x v="32"/>
    <x v="1"/>
    <x v="1"/>
    <x v="8"/>
    <s v="Anu"/>
    <n v="29"/>
    <n v="6467"/>
    <n v="5034.3900000000003"/>
    <n v="1432.61"/>
    <x v="31"/>
    <n v="3.7"/>
    <n v="0"/>
    <x v="2"/>
    <s v="Regular"/>
    <s v="Cancelled"/>
    <n v="19.07"/>
    <n v="72.87"/>
    <n v="6707"/>
    <n v="11175"/>
    <n v="4979"/>
    <n v="7935"/>
    <x v="0"/>
  </r>
  <r>
    <n v="1037"/>
    <s v="Starbucks Mumbai"/>
    <s v="India"/>
    <x v="2"/>
    <s v="Mumbai"/>
    <s v="West"/>
    <x v="10"/>
    <x v="4"/>
    <x v="0"/>
    <x v="5"/>
    <s v="Anu"/>
    <n v="8"/>
    <n v="2344"/>
    <n v="1680.55"/>
    <n v="663.45"/>
    <x v="32"/>
    <n v="4"/>
    <n v="10"/>
    <x v="1"/>
    <s v="Regular"/>
    <s v="Refunded"/>
    <n v="19.07"/>
    <n v="72.87"/>
    <n v="8686"/>
    <n v="11864"/>
    <n v="7839"/>
    <n v="8427"/>
    <x v="1"/>
  </r>
  <r>
    <n v="1038"/>
    <s v="Starbucks Mumbai"/>
    <s v="India"/>
    <x v="2"/>
    <s v="Mumbai"/>
    <s v="West"/>
    <x v="33"/>
    <x v="5"/>
    <x v="2"/>
    <x v="4"/>
    <s v="Rahul"/>
    <n v="27"/>
    <n v="6102"/>
    <n v="3639.88"/>
    <n v="2462.12"/>
    <x v="33"/>
    <n v="3.7"/>
    <n v="5"/>
    <x v="0"/>
    <s v="Premium"/>
    <s v="Cancelled"/>
    <n v="19.07"/>
    <n v="72.87"/>
    <n v="13043"/>
    <n v="16106"/>
    <n v="12121"/>
    <n v="13820"/>
    <x v="2"/>
  </r>
  <r>
    <n v="1039"/>
    <s v="Starbucks New Delhi"/>
    <s v="India"/>
    <x v="1"/>
    <s v="New Delhi"/>
    <s v="North"/>
    <x v="34"/>
    <x v="0"/>
    <x v="2"/>
    <x v="4"/>
    <s v="Asha"/>
    <n v="44"/>
    <n v="11000"/>
    <n v="6842.99"/>
    <n v="4157.01"/>
    <x v="34"/>
    <n v="4.8"/>
    <n v="10"/>
    <x v="0"/>
    <s v="Premium"/>
    <s v="Completed"/>
    <n v="28.61"/>
    <n v="77.2"/>
    <n v="13645"/>
    <n v="17874"/>
    <n v="12558"/>
    <n v="14436"/>
    <x v="2"/>
  </r>
  <r>
    <n v="1040"/>
    <s v="Starbucks Chennai"/>
    <s v="India"/>
    <x v="3"/>
    <s v="Chennai"/>
    <s v="South"/>
    <x v="17"/>
    <x v="0"/>
    <x v="2"/>
    <x v="3"/>
    <s v="Asha"/>
    <n v="32"/>
    <n v="7456"/>
    <n v="5514.67"/>
    <n v="1941.33"/>
    <x v="35"/>
    <n v="3.8"/>
    <n v="10"/>
    <x v="1"/>
    <s v="Gold"/>
    <s v="Cancelled"/>
    <n v="13.08"/>
    <n v="80.27"/>
    <n v="12455"/>
    <n v="13729"/>
    <n v="11374"/>
    <n v="12719"/>
    <x v="0"/>
  </r>
  <r>
    <n v="1041"/>
    <s v="Starbucks Chennai"/>
    <s v="India"/>
    <x v="3"/>
    <s v="Chennai"/>
    <s v="South"/>
    <x v="35"/>
    <x v="1"/>
    <x v="0"/>
    <x v="1"/>
    <s v="Asha"/>
    <n v="5"/>
    <n v="2030"/>
    <n v="1173.3599999999999"/>
    <n v="856.64"/>
    <x v="36"/>
    <n v="4.8"/>
    <n v="0"/>
    <x v="0"/>
    <s v="Regular"/>
    <s v="Refunded"/>
    <n v="13.08"/>
    <n v="80.27"/>
    <n v="12254"/>
    <n v="15552"/>
    <n v="10676"/>
    <n v="13949"/>
    <x v="0"/>
  </r>
  <r>
    <n v="1042"/>
    <s v="Starbucks Chennai"/>
    <s v="India"/>
    <x v="3"/>
    <s v="Chennai"/>
    <s v="South"/>
    <x v="11"/>
    <x v="0"/>
    <x v="0"/>
    <x v="5"/>
    <s v="Rahul"/>
    <n v="41"/>
    <n v="8897"/>
    <n v="6552.09"/>
    <n v="2344.91"/>
    <x v="37"/>
    <n v="5"/>
    <n v="15"/>
    <x v="2"/>
    <s v="Regular"/>
    <s v="Completed"/>
    <n v="13.08"/>
    <n v="80.27"/>
    <n v="14448"/>
    <n v="17389"/>
    <n v="12547"/>
    <n v="14828"/>
    <x v="1"/>
  </r>
  <r>
    <n v="1043"/>
    <s v="Starbucks New Delhi"/>
    <s v="India"/>
    <x v="1"/>
    <s v="New Delhi"/>
    <s v="North"/>
    <x v="36"/>
    <x v="3"/>
    <x v="0"/>
    <x v="0"/>
    <s v="Anu"/>
    <n v="39"/>
    <n v="16029"/>
    <n v="10671.2"/>
    <n v="5357.8"/>
    <x v="38"/>
    <n v="3.8"/>
    <n v="5"/>
    <x v="0"/>
    <s v="Gold"/>
    <s v="Cancelled"/>
    <n v="28.61"/>
    <n v="77.2"/>
    <n v="5060"/>
    <n v="8269"/>
    <n v="4087"/>
    <n v="4651"/>
    <x v="2"/>
  </r>
  <r>
    <n v="1044"/>
    <s v="Starbucks Mumbai"/>
    <s v="India"/>
    <x v="2"/>
    <s v="Mumbai"/>
    <s v="West"/>
    <x v="26"/>
    <x v="0"/>
    <x v="3"/>
    <x v="6"/>
    <s v="Rahul"/>
    <n v="57"/>
    <n v="22686"/>
    <n v="15005.75"/>
    <n v="7680.25"/>
    <x v="5"/>
    <n v="4.9000000000000004"/>
    <n v="15"/>
    <x v="2"/>
    <s v="Premium"/>
    <s v="Cancelled"/>
    <n v="19.07"/>
    <n v="72.87"/>
    <n v="12856"/>
    <n v="14813"/>
    <n v="12096"/>
    <n v="12165"/>
    <x v="1"/>
  </r>
  <r>
    <n v="1045"/>
    <s v="Starbucks Kochi"/>
    <s v="India"/>
    <x v="4"/>
    <s v="Kochi"/>
    <s v="South"/>
    <x v="37"/>
    <x v="2"/>
    <x v="2"/>
    <x v="4"/>
    <s v="Asha"/>
    <n v="36"/>
    <n v="9432"/>
    <n v="6308.66"/>
    <n v="3123.34"/>
    <x v="39"/>
    <n v="4.3"/>
    <n v="5"/>
    <x v="2"/>
    <s v="Gold"/>
    <s v="Refunded"/>
    <n v="9.93"/>
    <n v="76.260000000000005"/>
    <n v="8809"/>
    <n v="10940"/>
    <n v="7252"/>
    <n v="8872"/>
    <x v="2"/>
  </r>
  <r>
    <n v="1046"/>
    <s v="Starbucks New Delhi"/>
    <s v="India"/>
    <x v="1"/>
    <s v="New Delhi"/>
    <s v="North"/>
    <x v="38"/>
    <x v="5"/>
    <x v="0"/>
    <x v="5"/>
    <s v="Vivek"/>
    <n v="31"/>
    <n v="8711"/>
    <n v="5896.36"/>
    <n v="2814.64"/>
    <x v="40"/>
    <n v="4"/>
    <n v="0"/>
    <x v="0"/>
    <s v="Regular"/>
    <s v="Completed"/>
    <n v="28.61"/>
    <n v="77.2"/>
    <n v="11061"/>
    <n v="15231"/>
    <n v="10015"/>
    <n v="13646"/>
    <x v="0"/>
  </r>
  <r>
    <n v="1047"/>
    <s v="Starbucks Kochi"/>
    <s v="India"/>
    <x v="4"/>
    <s v="Kochi"/>
    <s v="South"/>
    <x v="39"/>
    <x v="4"/>
    <x v="2"/>
    <x v="4"/>
    <s v="Rahul"/>
    <n v="22"/>
    <n v="4202"/>
    <n v="2854.25"/>
    <n v="1347.75"/>
    <x v="41"/>
    <n v="4.5999999999999996"/>
    <n v="15"/>
    <x v="2"/>
    <s v="Gold"/>
    <s v="Completed"/>
    <n v="9.93"/>
    <n v="76.260000000000005"/>
    <n v="11407"/>
    <n v="13688"/>
    <n v="9954"/>
    <n v="10526"/>
    <x v="3"/>
  </r>
  <r>
    <n v="1048"/>
    <s v="Starbucks Bengaluru"/>
    <s v="India"/>
    <x v="0"/>
    <s v="Bengaluru"/>
    <s v="South"/>
    <x v="40"/>
    <x v="3"/>
    <x v="0"/>
    <x v="5"/>
    <s v="Asha"/>
    <n v="35"/>
    <n v="11025"/>
    <n v="6973.68"/>
    <n v="4051.32"/>
    <x v="21"/>
    <n v="3.5"/>
    <n v="5"/>
    <x v="0"/>
    <s v="Gold"/>
    <s v="Refunded"/>
    <n v="12.97"/>
    <n v="77.59"/>
    <n v="12150"/>
    <n v="14705"/>
    <n v="11586"/>
    <n v="11883"/>
    <x v="3"/>
  </r>
  <r>
    <n v="1049"/>
    <s v="Starbucks Bengaluru"/>
    <s v="India"/>
    <x v="0"/>
    <s v="Bengaluru"/>
    <s v="South"/>
    <x v="41"/>
    <x v="2"/>
    <x v="0"/>
    <x v="5"/>
    <s v="Asha"/>
    <n v="38"/>
    <n v="8702"/>
    <n v="6084.32"/>
    <n v="2617.6799999999998"/>
    <x v="42"/>
    <n v="4.3"/>
    <n v="15"/>
    <x v="0"/>
    <s v="Gold"/>
    <s v="Refunded"/>
    <n v="12.97"/>
    <n v="77.59"/>
    <n v="7095"/>
    <n v="8786"/>
    <n v="6012"/>
    <n v="7607"/>
    <x v="3"/>
  </r>
  <r>
    <n v="1050"/>
    <s v="Starbucks New Delhi"/>
    <s v="India"/>
    <x v="1"/>
    <s v="New Delhi"/>
    <s v="North"/>
    <x v="9"/>
    <x v="3"/>
    <x v="3"/>
    <x v="7"/>
    <s v="Rahul"/>
    <n v="21"/>
    <n v="8421"/>
    <n v="4804.4399999999996"/>
    <n v="3616.56"/>
    <x v="43"/>
    <n v="4.5"/>
    <n v="10"/>
    <x v="1"/>
    <s v="Regular"/>
    <s v="Refunded"/>
    <n v="28.61"/>
    <n v="77.2"/>
    <n v="11804"/>
    <n v="14017"/>
    <n v="10198"/>
    <n v="12356"/>
    <x v="3"/>
  </r>
  <r>
    <n v="1051"/>
    <s v="Starbucks Mumbai"/>
    <s v="India"/>
    <x v="2"/>
    <s v="Mumbai"/>
    <s v="West"/>
    <x v="42"/>
    <x v="3"/>
    <x v="2"/>
    <x v="4"/>
    <s v="Rahul"/>
    <n v="57"/>
    <n v="14934"/>
    <n v="9126.35"/>
    <n v="5807.65"/>
    <x v="7"/>
    <n v="4"/>
    <n v="10"/>
    <x v="2"/>
    <s v="Regular"/>
    <s v="Completed"/>
    <n v="19.07"/>
    <n v="72.87"/>
    <n v="7095"/>
    <n v="10972"/>
    <n v="5145"/>
    <n v="6435"/>
    <x v="0"/>
  </r>
  <r>
    <n v="1052"/>
    <s v="Starbucks New Delhi"/>
    <s v="India"/>
    <x v="1"/>
    <s v="New Delhi"/>
    <s v="North"/>
    <x v="43"/>
    <x v="2"/>
    <x v="3"/>
    <x v="6"/>
    <s v="Anu"/>
    <n v="36"/>
    <n v="13392"/>
    <n v="8055.68"/>
    <n v="5336.32"/>
    <x v="44"/>
    <n v="3.9"/>
    <n v="5"/>
    <x v="2"/>
    <s v="Gold"/>
    <s v="Refunded"/>
    <n v="28.61"/>
    <n v="77.2"/>
    <n v="9144"/>
    <n v="14019"/>
    <n v="7286"/>
    <n v="12356"/>
    <x v="0"/>
  </r>
  <r>
    <n v="1053"/>
    <s v="Starbucks New Delhi"/>
    <s v="India"/>
    <x v="1"/>
    <s v="New Delhi"/>
    <s v="North"/>
    <x v="2"/>
    <x v="2"/>
    <x v="3"/>
    <x v="7"/>
    <s v="Asha"/>
    <n v="29"/>
    <n v="5684"/>
    <n v="3507.56"/>
    <n v="2176.44"/>
    <x v="45"/>
    <n v="4.5"/>
    <n v="0"/>
    <x v="2"/>
    <s v="Gold"/>
    <s v="Completed"/>
    <n v="28.61"/>
    <n v="77.2"/>
    <n v="7960"/>
    <n v="9844"/>
    <n v="6430"/>
    <n v="6938"/>
    <x v="0"/>
  </r>
  <r>
    <n v="1054"/>
    <s v="Starbucks Chennai"/>
    <s v="India"/>
    <x v="3"/>
    <s v="Chennai"/>
    <s v="South"/>
    <x v="44"/>
    <x v="0"/>
    <x v="0"/>
    <x v="5"/>
    <s v="Anu"/>
    <n v="48"/>
    <n v="12720"/>
    <n v="8295.25"/>
    <n v="4424.75"/>
    <x v="46"/>
    <n v="4.5999999999999996"/>
    <n v="10"/>
    <x v="1"/>
    <s v="Regular"/>
    <s v="Completed"/>
    <n v="13.08"/>
    <n v="80.27"/>
    <n v="7806"/>
    <n v="9094"/>
    <n v="7243"/>
    <n v="7774"/>
    <x v="0"/>
  </r>
  <r>
    <n v="1055"/>
    <s v="Starbucks New Delhi"/>
    <s v="India"/>
    <x v="1"/>
    <s v="New Delhi"/>
    <s v="North"/>
    <x v="45"/>
    <x v="3"/>
    <x v="3"/>
    <x v="6"/>
    <s v="Anu"/>
    <n v="7"/>
    <n v="1372"/>
    <n v="849.94"/>
    <n v="522.05999999999995"/>
    <x v="47"/>
    <n v="3.8"/>
    <n v="5"/>
    <x v="1"/>
    <s v="Premium"/>
    <s v="Refunded"/>
    <n v="28.61"/>
    <n v="77.2"/>
    <n v="14974"/>
    <n v="19286"/>
    <n v="13310"/>
    <n v="16149"/>
    <x v="0"/>
  </r>
  <r>
    <n v="1056"/>
    <s v="Starbucks Kochi"/>
    <s v="India"/>
    <x v="4"/>
    <s v="Kochi"/>
    <s v="South"/>
    <x v="40"/>
    <x v="3"/>
    <x v="0"/>
    <x v="0"/>
    <s v="Rahul"/>
    <n v="12"/>
    <n v="2664"/>
    <n v="1870.9"/>
    <n v="793.1"/>
    <x v="48"/>
    <n v="3.9"/>
    <n v="15"/>
    <x v="0"/>
    <s v="Premium"/>
    <s v="Completed"/>
    <n v="9.93"/>
    <n v="76.260000000000005"/>
    <n v="12177"/>
    <n v="15188"/>
    <n v="10822"/>
    <n v="12049"/>
    <x v="1"/>
  </r>
  <r>
    <n v="1057"/>
    <s v="Starbucks Bengaluru"/>
    <s v="India"/>
    <x v="0"/>
    <s v="Bengaluru"/>
    <s v="South"/>
    <x v="12"/>
    <x v="4"/>
    <x v="0"/>
    <x v="1"/>
    <s v="Vivek"/>
    <n v="42"/>
    <n v="12390"/>
    <n v="9035.44"/>
    <n v="3354.56"/>
    <x v="49"/>
    <n v="4.9000000000000004"/>
    <n v="5"/>
    <x v="2"/>
    <s v="Regular"/>
    <s v="Completed"/>
    <n v="12.97"/>
    <n v="77.59"/>
    <n v="6828"/>
    <n v="11000"/>
    <n v="5471"/>
    <n v="6793"/>
    <x v="1"/>
  </r>
  <r>
    <n v="1058"/>
    <s v="Starbucks Kochi"/>
    <s v="India"/>
    <x v="4"/>
    <s v="Kochi"/>
    <s v="South"/>
    <x v="42"/>
    <x v="3"/>
    <x v="0"/>
    <x v="0"/>
    <s v="Rahul"/>
    <n v="8"/>
    <n v="2792"/>
    <n v="1859.85"/>
    <n v="932.15"/>
    <x v="50"/>
    <n v="4.4000000000000004"/>
    <n v="15"/>
    <x v="2"/>
    <s v="Gold"/>
    <s v="Refunded"/>
    <n v="9.93"/>
    <n v="76.260000000000005"/>
    <n v="9741"/>
    <n v="13674"/>
    <n v="8401"/>
    <n v="11750"/>
    <x v="0"/>
  </r>
  <r>
    <n v="1059"/>
    <s v="Starbucks Mumbai"/>
    <s v="India"/>
    <x v="2"/>
    <s v="Mumbai"/>
    <s v="West"/>
    <x v="46"/>
    <x v="1"/>
    <x v="3"/>
    <x v="7"/>
    <s v="Anu"/>
    <n v="18"/>
    <n v="5850"/>
    <n v="4601.32"/>
    <n v="1248.68"/>
    <x v="51"/>
    <n v="4.3"/>
    <n v="10"/>
    <x v="0"/>
    <s v="Gold"/>
    <s v="Cancelled"/>
    <n v="19.07"/>
    <n v="72.87"/>
    <n v="11101"/>
    <n v="15788"/>
    <n v="10428"/>
    <n v="15587"/>
    <x v="0"/>
  </r>
  <r>
    <n v="1060"/>
    <s v="Starbucks New Delhi"/>
    <s v="India"/>
    <x v="1"/>
    <s v="New Delhi"/>
    <s v="North"/>
    <x v="13"/>
    <x v="4"/>
    <x v="2"/>
    <x v="4"/>
    <s v="Neha"/>
    <n v="48"/>
    <n v="11616"/>
    <n v="8872.64"/>
    <n v="2743.36"/>
    <x v="52"/>
    <n v="4.3"/>
    <n v="5"/>
    <x v="2"/>
    <s v="Gold"/>
    <s v="Completed"/>
    <n v="28.61"/>
    <n v="77.2"/>
    <n v="13308"/>
    <n v="15602"/>
    <n v="12185"/>
    <n v="12822"/>
    <x v="0"/>
  </r>
  <r>
    <n v="1061"/>
    <s v="Starbucks Chennai"/>
    <s v="India"/>
    <x v="3"/>
    <s v="Chennai"/>
    <s v="South"/>
    <x v="47"/>
    <x v="2"/>
    <x v="1"/>
    <x v="8"/>
    <s v="Neha"/>
    <n v="51"/>
    <n v="12597"/>
    <n v="9701.3700000000008"/>
    <n v="2895.63"/>
    <x v="1"/>
    <n v="3.8"/>
    <n v="0"/>
    <x v="0"/>
    <s v="Premium"/>
    <s v="Cancelled"/>
    <n v="13.08"/>
    <n v="80.27"/>
    <n v="6070"/>
    <n v="10372"/>
    <n v="5032"/>
    <n v="9792"/>
    <x v="0"/>
  </r>
  <r>
    <n v="1062"/>
    <s v="Starbucks Chennai"/>
    <s v="India"/>
    <x v="3"/>
    <s v="Chennai"/>
    <s v="South"/>
    <x v="48"/>
    <x v="3"/>
    <x v="3"/>
    <x v="6"/>
    <s v="Rahul"/>
    <n v="35"/>
    <n v="10640"/>
    <n v="5886.86"/>
    <n v="4753.1400000000003"/>
    <x v="53"/>
    <n v="3.9"/>
    <n v="15"/>
    <x v="0"/>
    <s v="Gold"/>
    <s v="Cancelled"/>
    <n v="13.08"/>
    <n v="80.27"/>
    <n v="14163"/>
    <n v="18774"/>
    <n v="13223"/>
    <n v="16182"/>
    <x v="0"/>
  </r>
  <r>
    <n v="1063"/>
    <s v="Starbucks Kochi"/>
    <s v="India"/>
    <x v="4"/>
    <s v="Kochi"/>
    <s v="South"/>
    <x v="49"/>
    <x v="5"/>
    <x v="2"/>
    <x v="4"/>
    <s v="Anu"/>
    <n v="36"/>
    <n v="8604"/>
    <n v="5223.12"/>
    <n v="3380.88"/>
    <x v="54"/>
    <n v="5"/>
    <n v="15"/>
    <x v="2"/>
    <s v="Gold"/>
    <s v="Refunded"/>
    <n v="9.93"/>
    <n v="76.260000000000005"/>
    <n v="14842"/>
    <n v="16041"/>
    <n v="13430"/>
    <n v="16022"/>
    <x v="1"/>
  </r>
  <r>
    <n v="1064"/>
    <s v="Starbucks Chennai"/>
    <s v="India"/>
    <x v="3"/>
    <s v="Chennai"/>
    <s v="South"/>
    <x v="50"/>
    <x v="2"/>
    <x v="2"/>
    <x v="4"/>
    <s v="Rahul"/>
    <n v="16"/>
    <n v="3392"/>
    <n v="2488.23"/>
    <n v="903.77"/>
    <x v="55"/>
    <n v="4.4000000000000004"/>
    <n v="15"/>
    <x v="2"/>
    <s v="Premium"/>
    <s v="Cancelled"/>
    <n v="13.08"/>
    <n v="80.27"/>
    <n v="11990"/>
    <n v="15320"/>
    <n v="10809"/>
    <n v="12650"/>
    <x v="0"/>
  </r>
  <r>
    <n v="1065"/>
    <s v="Starbucks Mumbai"/>
    <s v="India"/>
    <x v="2"/>
    <s v="Mumbai"/>
    <s v="West"/>
    <x v="51"/>
    <x v="2"/>
    <x v="2"/>
    <x v="3"/>
    <s v="Anu"/>
    <n v="9"/>
    <n v="1719"/>
    <n v="1319.52"/>
    <n v="399.48"/>
    <x v="56"/>
    <n v="4"/>
    <n v="5"/>
    <x v="1"/>
    <s v="Regular"/>
    <s v="Cancelled"/>
    <n v="19.07"/>
    <n v="72.87"/>
    <n v="11513"/>
    <n v="12833"/>
    <n v="10977"/>
    <n v="11940"/>
    <x v="0"/>
  </r>
  <r>
    <n v="1066"/>
    <s v="Starbucks Kochi"/>
    <s v="India"/>
    <x v="4"/>
    <s v="Kochi"/>
    <s v="South"/>
    <x v="48"/>
    <x v="3"/>
    <x v="3"/>
    <x v="7"/>
    <s v="Rahul"/>
    <n v="53"/>
    <n v="18020"/>
    <n v="13049.01"/>
    <n v="4970.99"/>
    <x v="57"/>
    <n v="3.9"/>
    <n v="10"/>
    <x v="1"/>
    <s v="Regular"/>
    <s v="Refunded"/>
    <n v="9.93"/>
    <n v="76.260000000000005"/>
    <n v="6367"/>
    <n v="8295"/>
    <n v="4815"/>
    <n v="4962"/>
    <x v="2"/>
  </r>
  <r>
    <n v="1067"/>
    <s v="Starbucks Mumbai"/>
    <s v="India"/>
    <x v="2"/>
    <s v="Mumbai"/>
    <s v="West"/>
    <x v="52"/>
    <x v="5"/>
    <x v="1"/>
    <x v="2"/>
    <s v="Asha"/>
    <n v="22"/>
    <n v="4246"/>
    <n v="2635.16"/>
    <n v="1610.84"/>
    <x v="58"/>
    <n v="4.4000000000000004"/>
    <n v="15"/>
    <x v="2"/>
    <s v="Regular"/>
    <s v="Refunded"/>
    <n v="19.07"/>
    <n v="72.87"/>
    <n v="12686"/>
    <n v="16087"/>
    <n v="11693"/>
    <n v="12118"/>
    <x v="0"/>
  </r>
  <r>
    <n v="1068"/>
    <s v="Starbucks Bengaluru"/>
    <s v="India"/>
    <x v="0"/>
    <s v="Bengaluru"/>
    <s v="South"/>
    <x v="53"/>
    <x v="4"/>
    <x v="2"/>
    <x v="4"/>
    <s v="Anu"/>
    <n v="7"/>
    <n v="1701"/>
    <n v="1219.76"/>
    <n v="481.24"/>
    <x v="52"/>
    <n v="4.0999999999999996"/>
    <n v="0"/>
    <x v="2"/>
    <s v="Gold"/>
    <s v="Completed"/>
    <n v="12.97"/>
    <n v="77.59"/>
    <n v="9149"/>
    <n v="11248"/>
    <n v="8023"/>
    <n v="10000"/>
    <x v="2"/>
  </r>
  <r>
    <n v="1069"/>
    <s v="Starbucks Bengaluru"/>
    <s v="India"/>
    <x v="0"/>
    <s v="Bengaluru"/>
    <s v="South"/>
    <x v="30"/>
    <x v="5"/>
    <x v="1"/>
    <x v="8"/>
    <s v="Anu"/>
    <n v="33"/>
    <n v="11121"/>
    <n v="7665.92"/>
    <n v="3455.08"/>
    <x v="59"/>
    <n v="4.2"/>
    <n v="10"/>
    <x v="0"/>
    <s v="Regular"/>
    <s v="Refunded"/>
    <n v="12.97"/>
    <n v="77.59"/>
    <n v="8080"/>
    <n v="9873"/>
    <n v="6147"/>
    <n v="9636"/>
    <x v="3"/>
  </r>
  <r>
    <n v="1070"/>
    <s v="Starbucks Kochi"/>
    <s v="India"/>
    <x v="4"/>
    <s v="Kochi"/>
    <s v="South"/>
    <x v="53"/>
    <x v="4"/>
    <x v="3"/>
    <x v="6"/>
    <s v="Anu"/>
    <n v="44"/>
    <n v="14168"/>
    <n v="8473.15"/>
    <n v="5694.85"/>
    <x v="60"/>
    <n v="4.5"/>
    <n v="15"/>
    <x v="0"/>
    <s v="Premium"/>
    <s v="Cancelled"/>
    <n v="9.93"/>
    <n v="76.260000000000005"/>
    <n v="14591"/>
    <n v="15716"/>
    <n v="13647"/>
    <n v="13815"/>
    <x v="2"/>
  </r>
  <r>
    <n v="1071"/>
    <s v="Starbucks New Delhi"/>
    <s v="India"/>
    <x v="1"/>
    <s v="New Delhi"/>
    <s v="North"/>
    <x v="54"/>
    <x v="5"/>
    <x v="3"/>
    <x v="6"/>
    <s v="Rahul"/>
    <n v="45"/>
    <n v="18270"/>
    <n v="13962.62"/>
    <n v="4307.38"/>
    <x v="61"/>
    <n v="4.2"/>
    <n v="5"/>
    <x v="1"/>
    <s v="Gold"/>
    <s v="Cancelled"/>
    <n v="28.61"/>
    <n v="77.2"/>
    <n v="13196"/>
    <n v="16375"/>
    <n v="11658"/>
    <n v="13351"/>
    <x v="3"/>
  </r>
  <r>
    <n v="1072"/>
    <s v="Starbucks Mumbai"/>
    <s v="India"/>
    <x v="2"/>
    <s v="Mumbai"/>
    <s v="West"/>
    <x v="55"/>
    <x v="5"/>
    <x v="3"/>
    <x v="6"/>
    <s v="Asha"/>
    <n v="35"/>
    <n v="9975"/>
    <n v="7377.47"/>
    <n v="2597.5300000000002"/>
    <x v="62"/>
    <n v="4.5"/>
    <n v="10"/>
    <x v="1"/>
    <s v="Premium"/>
    <s v="Refunded"/>
    <n v="19.07"/>
    <n v="72.87"/>
    <n v="6072"/>
    <n v="10942"/>
    <n v="5188"/>
    <n v="10838"/>
    <x v="0"/>
  </r>
  <r>
    <n v="1073"/>
    <s v="Starbucks Mumbai"/>
    <s v="India"/>
    <x v="2"/>
    <s v="Mumbai"/>
    <s v="West"/>
    <x v="36"/>
    <x v="3"/>
    <x v="0"/>
    <x v="1"/>
    <s v="Anu"/>
    <n v="43"/>
    <n v="10664"/>
    <n v="8443.4699999999993"/>
    <n v="2220.5300000000002"/>
    <x v="63"/>
    <n v="3.9"/>
    <n v="5"/>
    <x v="0"/>
    <s v="Regular"/>
    <s v="Completed"/>
    <n v="19.07"/>
    <n v="72.87"/>
    <n v="5507"/>
    <n v="8508"/>
    <n v="4193"/>
    <n v="8229"/>
    <x v="1"/>
  </r>
  <r>
    <n v="1074"/>
    <s v="Starbucks New Delhi"/>
    <s v="India"/>
    <x v="1"/>
    <s v="New Delhi"/>
    <s v="North"/>
    <x v="56"/>
    <x v="4"/>
    <x v="3"/>
    <x v="6"/>
    <s v="Vivek"/>
    <n v="21"/>
    <n v="3969"/>
    <n v="2445.5500000000002"/>
    <n v="1523.45"/>
    <x v="57"/>
    <n v="4.3"/>
    <n v="5"/>
    <x v="1"/>
    <s v="Regular"/>
    <s v="Refunded"/>
    <n v="28.61"/>
    <n v="77.2"/>
    <n v="14907"/>
    <n v="17324"/>
    <n v="13939"/>
    <n v="16202"/>
    <x v="2"/>
  </r>
  <r>
    <n v="1075"/>
    <s v="Starbucks Bengaluru"/>
    <s v="India"/>
    <x v="0"/>
    <s v="Bengaluru"/>
    <s v="South"/>
    <x v="57"/>
    <x v="2"/>
    <x v="2"/>
    <x v="4"/>
    <s v="Rahul"/>
    <n v="39"/>
    <n v="9906"/>
    <n v="5569.07"/>
    <n v="4336.93"/>
    <x v="51"/>
    <n v="4.8"/>
    <n v="0"/>
    <x v="0"/>
    <s v="Regular"/>
    <s v="Completed"/>
    <n v="12.97"/>
    <n v="77.59"/>
    <n v="6186"/>
    <n v="11171"/>
    <n v="5626"/>
    <n v="10981"/>
    <x v="0"/>
  </r>
  <r>
    <n v="1076"/>
    <s v="Starbucks Kochi"/>
    <s v="India"/>
    <x v="4"/>
    <s v="Kochi"/>
    <s v="South"/>
    <x v="58"/>
    <x v="5"/>
    <x v="1"/>
    <x v="8"/>
    <s v="Anu"/>
    <n v="55"/>
    <n v="21450"/>
    <n v="16331.74"/>
    <n v="5118.26"/>
    <x v="43"/>
    <n v="4.5"/>
    <n v="15"/>
    <x v="2"/>
    <s v="Premium"/>
    <s v="Cancelled"/>
    <n v="9.93"/>
    <n v="76.260000000000005"/>
    <n v="10954"/>
    <n v="14859"/>
    <n v="9795"/>
    <n v="13778"/>
    <x v="3"/>
  </r>
  <r>
    <n v="1077"/>
    <s v="Starbucks Chennai"/>
    <s v="India"/>
    <x v="3"/>
    <s v="Chennai"/>
    <s v="South"/>
    <x v="33"/>
    <x v="5"/>
    <x v="0"/>
    <x v="0"/>
    <s v="Neha"/>
    <n v="8"/>
    <n v="1600"/>
    <n v="1202.04"/>
    <n v="397.96"/>
    <x v="11"/>
    <n v="3.8"/>
    <n v="0"/>
    <x v="0"/>
    <s v="Regular"/>
    <s v="Refunded"/>
    <n v="13.08"/>
    <n v="80.27"/>
    <n v="14885"/>
    <n v="17848"/>
    <n v="12933"/>
    <n v="17693"/>
    <x v="2"/>
  </r>
  <r>
    <n v="1078"/>
    <s v="Starbucks Bengaluru"/>
    <s v="India"/>
    <x v="0"/>
    <s v="Bengaluru"/>
    <s v="South"/>
    <x v="59"/>
    <x v="0"/>
    <x v="0"/>
    <x v="1"/>
    <s v="Vivek"/>
    <n v="11"/>
    <n v="3300"/>
    <n v="1828.54"/>
    <n v="1471.46"/>
    <x v="64"/>
    <n v="4.0999999999999996"/>
    <n v="0"/>
    <x v="1"/>
    <s v="Regular"/>
    <s v="Cancelled"/>
    <n v="12.97"/>
    <n v="77.59"/>
    <n v="14414"/>
    <n v="17634"/>
    <n v="13076"/>
    <n v="16156"/>
    <x v="0"/>
  </r>
  <r>
    <n v="1079"/>
    <s v="Starbucks Chennai"/>
    <s v="India"/>
    <x v="3"/>
    <s v="Chennai"/>
    <s v="South"/>
    <x v="57"/>
    <x v="2"/>
    <x v="3"/>
    <x v="6"/>
    <s v="Rahul"/>
    <n v="60"/>
    <n v="22980"/>
    <n v="15306.14"/>
    <n v="7673.86"/>
    <x v="65"/>
    <n v="4.5999999999999996"/>
    <n v="5"/>
    <x v="1"/>
    <s v="Regular"/>
    <s v="Cancelled"/>
    <n v="13.08"/>
    <n v="80.27"/>
    <n v="11758"/>
    <n v="14382"/>
    <n v="10697"/>
    <n v="14330"/>
    <x v="0"/>
  </r>
  <r>
    <n v="1080"/>
    <s v="Starbucks Mumbai"/>
    <s v="India"/>
    <x v="2"/>
    <s v="Mumbai"/>
    <s v="West"/>
    <x v="60"/>
    <x v="4"/>
    <x v="3"/>
    <x v="6"/>
    <s v="Rahul"/>
    <n v="9"/>
    <n v="2133"/>
    <n v="1237.5999999999999"/>
    <n v="895.4"/>
    <x v="66"/>
    <n v="3.6"/>
    <n v="10"/>
    <x v="0"/>
    <s v="Gold"/>
    <s v="Cancelled"/>
    <n v="19.07"/>
    <n v="72.87"/>
    <n v="6473"/>
    <n v="9705"/>
    <n v="5123"/>
    <n v="8633"/>
    <x v="0"/>
  </r>
  <r>
    <n v="1081"/>
    <s v="Starbucks Kochi"/>
    <s v="India"/>
    <x v="4"/>
    <s v="Kochi"/>
    <s v="South"/>
    <x v="61"/>
    <x v="1"/>
    <x v="0"/>
    <x v="1"/>
    <s v="Rahul"/>
    <n v="27"/>
    <n v="6534"/>
    <n v="4304.42"/>
    <n v="2229.58"/>
    <x v="40"/>
    <n v="3.8"/>
    <n v="15"/>
    <x v="0"/>
    <s v="Premium"/>
    <s v="Completed"/>
    <n v="9.93"/>
    <n v="76.260000000000005"/>
    <n v="13931"/>
    <n v="16326"/>
    <n v="11972"/>
    <n v="13478"/>
    <x v="0"/>
  </r>
  <r>
    <n v="1082"/>
    <s v="Starbucks Chennai"/>
    <s v="India"/>
    <x v="3"/>
    <s v="Chennai"/>
    <s v="South"/>
    <x v="13"/>
    <x v="4"/>
    <x v="1"/>
    <x v="2"/>
    <s v="Anu"/>
    <n v="57"/>
    <n v="10602"/>
    <n v="6960.99"/>
    <n v="3641.01"/>
    <x v="67"/>
    <n v="3.5"/>
    <n v="5"/>
    <x v="1"/>
    <s v="Gold"/>
    <s v="Cancelled"/>
    <n v="13.08"/>
    <n v="80.27"/>
    <n v="10168"/>
    <n v="14589"/>
    <n v="8893"/>
    <n v="14058"/>
    <x v="1"/>
  </r>
  <r>
    <n v="1083"/>
    <s v="Starbucks Mumbai"/>
    <s v="India"/>
    <x v="2"/>
    <s v="Mumbai"/>
    <s v="West"/>
    <x v="62"/>
    <x v="3"/>
    <x v="2"/>
    <x v="4"/>
    <s v="Neha"/>
    <n v="35"/>
    <n v="8155"/>
    <n v="5725.01"/>
    <n v="2429.9899999999998"/>
    <x v="47"/>
    <n v="4.7"/>
    <n v="15"/>
    <x v="1"/>
    <s v="Gold"/>
    <s v="Refunded"/>
    <n v="19.07"/>
    <n v="72.87"/>
    <n v="6147"/>
    <n v="7750"/>
    <n v="5593"/>
    <n v="6449"/>
    <x v="3"/>
  </r>
  <r>
    <n v="1084"/>
    <s v="Starbucks Bengaluru"/>
    <s v="India"/>
    <x v="0"/>
    <s v="Bengaluru"/>
    <s v="South"/>
    <x v="63"/>
    <x v="4"/>
    <x v="1"/>
    <x v="2"/>
    <s v="Asha"/>
    <n v="37"/>
    <n v="7585"/>
    <n v="4956.92"/>
    <n v="2628.08"/>
    <x v="68"/>
    <n v="5"/>
    <n v="10"/>
    <x v="2"/>
    <s v="Premium"/>
    <s v="Completed"/>
    <n v="12.97"/>
    <n v="77.59"/>
    <n v="13662"/>
    <n v="14692"/>
    <n v="12571"/>
    <n v="13355"/>
    <x v="2"/>
  </r>
  <r>
    <n v="1085"/>
    <s v="Starbucks Bengaluru"/>
    <s v="India"/>
    <x v="0"/>
    <s v="Bengaluru"/>
    <s v="South"/>
    <x v="64"/>
    <x v="0"/>
    <x v="3"/>
    <x v="7"/>
    <s v="Asha"/>
    <n v="19"/>
    <n v="7467"/>
    <n v="4122.3999999999996"/>
    <n v="3344.6"/>
    <x v="22"/>
    <n v="4"/>
    <n v="15"/>
    <x v="0"/>
    <s v="Gold"/>
    <s v="Completed"/>
    <n v="12.97"/>
    <n v="77.59"/>
    <n v="10635"/>
    <n v="13854"/>
    <n v="8961"/>
    <n v="10847"/>
    <x v="3"/>
  </r>
  <r>
    <n v="1086"/>
    <s v="Starbucks Mumbai"/>
    <s v="India"/>
    <x v="2"/>
    <s v="Mumbai"/>
    <s v="West"/>
    <x v="65"/>
    <x v="3"/>
    <x v="0"/>
    <x v="1"/>
    <s v="Anu"/>
    <n v="54"/>
    <n v="17496"/>
    <n v="10993.01"/>
    <n v="6502.99"/>
    <x v="69"/>
    <n v="3.9"/>
    <n v="15"/>
    <x v="0"/>
    <s v="Regular"/>
    <s v="Refunded"/>
    <n v="19.07"/>
    <n v="72.87"/>
    <n v="8256"/>
    <n v="9617"/>
    <n v="7469"/>
    <n v="7782"/>
    <x v="1"/>
  </r>
  <r>
    <n v="1087"/>
    <s v="Starbucks Kochi"/>
    <s v="India"/>
    <x v="4"/>
    <s v="Kochi"/>
    <s v="South"/>
    <x v="66"/>
    <x v="3"/>
    <x v="3"/>
    <x v="7"/>
    <s v="Neha"/>
    <n v="29"/>
    <n v="10933"/>
    <n v="7772.12"/>
    <n v="3160.88"/>
    <x v="70"/>
    <n v="4.8"/>
    <n v="10"/>
    <x v="1"/>
    <s v="Gold"/>
    <s v="Cancelled"/>
    <n v="9.93"/>
    <n v="76.260000000000005"/>
    <n v="14148"/>
    <n v="16630"/>
    <n v="12269"/>
    <n v="14377"/>
    <x v="0"/>
  </r>
  <r>
    <n v="1088"/>
    <s v="Starbucks Bengaluru"/>
    <s v="India"/>
    <x v="0"/>
    <s v="Bengaluru"/>
    <s v="South"/>
    <x v="67"/>
    <x v="0"/>
    <x v="1"/>
    <x v="8"/>
    <s v="Asha"/>
    <n v="21"/>
    <n v="4452"/>
    <n v="3232.31"/>
    <n v="1219.69"/>
    <x v="71"/>
    <n v="4.2"/>
    <n v="0"/>
    <x v="0"/>
    <s v="Premium"/>
    <s v="Completed"/>
    <n v="12.97"/>
    <n v="77.59"/>
    <n v="11635"/>
    <n v="13137"/>
    <n v="9949"/>
    <n v="11979"/>
    <x v="1"/>
  </r>
  <r>
    <n v="1089"/>
    <s v="Starbucks Mumbai"/>
    <s v="India"/>
    <x v="2"/>
    <s v="Mumbai"/>
    <s v="West"/>
    <x v="68"/>
    <x v="0"/>
    <x v="0"/>
    <x v="1"/>
    <s v="Rahul"/>
    <n v="23"/>
    <n v="9338"/>
    <n v="5201.3999999999996"/>
    <n v="4136.6000000000004"/>
    <x v="72"/>
    <n v="4"/>
    <n v="5"/>
    <x v="0"/>
    <s v="Gold"/>
    <s v="Cancelled"/>
    <n v="19.07"/>
    <n v="72.87"/>
    <n v="14087"/>
    <n v="17911"/>
    <n v="12546"/>
    <n v="13464"/>
    <x v="2"/>
  </r>
  <r>
    <n v="1090"/>
    <s v="Starbucks Mumbai"/>
    <s v="India"/>
    <x v="2"/>
    <s v="Mumbai"/>
    <s v="West"/>
    <x v="69"/>
    <x v="3"/>
    <x v="3"/>
    <x v="6"/>
    <s v="Neha"/>
    <n v="34"/>
    <n v="8976"/>
    <n v="6801.12"/>
    <n v="2174.88"/>
    <x v="73"/>
    <n v="4.4000000000000004"/>
    <n v="5"/>
    <x v="2"/>
    <s v="Premium"/>
    <s v="Completed"/>
    <n v="19.07"/>
    <n v="72.87"/>
    <n v="9633"/>
    <n v="11913"/>
    <n v="8824"/>
    <n v="10249"/>
    <x v="3"/>
  </r>
  <r>
    <n v="1091"/>
    <s v="Starbucks Bengaluru"/>
    <s v="India"/>
    <x v="0"/>
    <s v="Bengaluru"/>
    <s v="South"/>
    <x v="70"/>
    <x v="3"/>
    <x v="3"/>
    <x v="7"/>
    <s v="Rahul"/>
    <n v="41"/>
    <n v="14145"/>
    <n v="8882.67"/>
    <n v="5262.33"/>
    <x v="74"/>
    <n v="4"/>
    <n v="15"/>
    <x v="1"/>
    <s v="Regular"/>
    <s v="Refunded"/>
    <n v="12.97"/>
    <n v="77.59"/>
    <n v="11802"/>
    <n v="13956"/>
    <n v="11044"/>
    <n v="12050"/>
    <x v="2"/>
  </r>
  <r>
    <n v="1092"/>
    <s v="Starbucks Kochi"/>
    <s v="India"/>
    <x v="4"/>
    <s v="Kochi"/>
    <s v="South"/>
    <x v="71"/>
    <x v="2"/>
    <x v="2"/>
    <x v="4"/>
    <s v="Anu"/>
    <n v="60"/>
    <n v="18780"/>
    <n v="11244.87"/>
    <n v="7535.13"/>
    <x v="5"/>
    <n v="4.2"/>
    <n v="0"/>
    <x v="2"/>
    <s v="Regular"/>
    <s v="Cancelled"/>
    <n v="9.93"/>
    <n v="76.260000000000005"/>
    <n v="12859"/>
    <n v="16609"/>
    <n v="11110"/>
    <n v="15968"/>
    <x v="1"/>
  </r>
  <r>
    <n v="1093"/>
    <s v="Starbucks Bengaluru"/>
    <s v="India"/>
    <x v="0"/>
    <s v="Bengaluru"/>
    <s v="South"/>
    <x v="72"/>
    <x v="1"/>
    <x v="3"/>
    <x v="7"/>
    <s v="Neha"/>
    <n v="7"/>
    <n v="1386"/>
    <n v="1036.7"/>
    <n v="349.3"/>
    <x v="75"/>
    <n v="4.9000000000000004"/>
    <n v="15"/>
    <x v="2"/>
    <s v="Regular"/>
    <s v="Completed"/>
    <n v="12.97"/>
    <n v="77.59"/>
    <n v="12505"/>
    <n v="17476"/>
    <n v="10581"/>
    <n v="10842"/>
    <x v="0"/>
  </r>
  <r>
    <n v="1094"/>
    <s v="Starbucks Mumbai"/>
    <s v="India"/>
    <x v="2"/>
    <s v="Mumbai"/>
    <s v="West"/>
    <x v="48"/>
    <x v="3"/>
    <x v="3"/>
    <x v="6"/>
    <s v="Vivek"/>
    <n v="27"/>
    <n v="9639"/>
    <n v="6288.52"/>
    <n v="3350.48"/>
    <x v="76"/>
    <n v="4.2"/>
    <n v="10"/>
    <x v="2"/>
    <s v="Regular"/>
    <s v="Cancelled"/>
    <n v="19.07"/>
    <n v="72.87"/>
    <n v="6021"/>
    <n v="9462"/>
    <n v="5473"/>
    <n v="8087"/>
    <x v="2"/>
  </r>
  <r>
    <n v="1095"/>
    <s v="Starbucks Kochi"/>
    <s v="India"/>
    <x v="4"/>
    <s v="Kochi"/>
    <s v="South"/>
    <x v="39"/>
    <x v="4"/>
    <x v="1"/>
    <x v="2"/>
    <s v="Asha"/>
    <n v="31"/>
    <n v="12741"/>
    <n v="10184.549999999999"/>
    <n v="2556.4499999999998"/>
    <x v="77"/>
    <n v="4.9000000000000004"/>
    <n v="0"/>
    <x v="2"/>
    <s v="Premium"/>
    <s v="Cancelled"/>
    <n v="9.93"/>
    <n v="76.260000000000005"/>
    <n v="6888"/>
    <n v="11612"/>
    <n v="4927"/>
    <n v="6025"/>
    <x v="3"/>
  </r>
  <r>
    <n v="1096"/>
    <s v="Starbucks New Delhi"/>
    <s v="India"/>
    <x v="1"/>
    <s v="New Delhi"/>
    <s v="North"/>
    <x v="73"/>
    <x v="5"/>
    <x v="1"/>
    <x v="8"/>
    <s v="Vivek"/>
    <n v="52"/>
    <n v="17888"/>
    <n v="11008.29"/>
    <n v="6879.71"/>
    <x v="78"/>
    <n v="3.5"/>
    <n v="5"/>
    <x v="1"/>
    <s v="Gold"/>
    <s v="Refunded"/>
    <n v="28.61"/>
    <n v="77.2"/>
    <n v="13028"/>
    <n v="16230"/>
    <n v="11684"/>
    <n v="12988"/>
    <x v="3"/>
  </r>
  <r>
    <n v="1097"/>
    <s v="Starbucks Kochi"/>
    <s v="India"/>
    <x v="4"/>
    <s v="Kochi"/>
    <s v="South"/>
    <x v="74"/>
    <x v="5"/>
    <x v="2"/>
    <x v="4"/>
    <s v="Neha"/>
    <n v="38"/>
    <n v="15656"/>
    <n v="11865.9"/>
    <n v="3790.1"/>
    <x v="72"/>
    <n v="4.9000000000000004"/>
    <n v="5"/>
    <x v="0"/>
    <s v="Premium"/>
    <s v="Refunded"/>
    <n v="9.93"/>
    <n v="76.260000000000005"/>
    <n v="9326"/>
    <n v="14084"/>
    <n v="7971"/>
    <n v="9386"/>
    <x v="1"/>
  </r>
  <r>
    <n v="1098"/>
    <s v="Starbucks Kochi"/>
    <s v="India"/>
    <x v="4"/>
    <s v="Kochi"/>
    <s v="South"/>
    <x v="59"/>
    <x v="0"/>
    <x v="2"/>
    <x v="3"/>
    <s v="Anu"/>
    <n v="24"/>
    <n v="7416"/>
    <n v="4147.8100000000004"/>
    <n v="3268.19"/>
    <x v="79"/>
    <n v="4.5999999999999996"/>
    <n v="5"/>
    <x v="0"/>
    <s v="Gold"/>
    <s v="Completed"/>
    <n v="9.93"/>
    <n v="76.260000000000005"/>
    <n v="9696"/>
    <n v="10968"/>
    <n v="8361"/>
    <n v="9229"/>
    <x v="1"/>
  </r>
  <r>
    <n v="1099"/>
    <s v="Starbucks Chennai"/>
    <s v="India"/>
    <x v="3"/>
    <s v="Chennai"/>
    <s v="South"/>
    <x v="58"/>
    <x v="5"/>
    <x v="0"/>
    <x v="1"/>
    <s v="Vivek"/>
    <n v="19"/>
    <n v="7866"/>
    <n v="6236.07"/>
    <n v="1629.93"/>
    <x v="80"/>
    <n v="4"/>
    <n v="0"/>
    <x v="0"/>
    <s v="Regular"/>
    <s v="Refunded"/>
    <n v="13.08"/>
    <n v="80.27"/>
    <n v="9611"/>
    <n v="10809"/>
    <n v="8844"/>
    <n v="9119"/>
    <x v="1"/>
  </r>
  <r>
    <n v="1100"/>
    <s v="Starbucks Chennai"/>
    <s v="India"/>
    <x v="3"/>
    <s v="Chennai"/>
    <s v="South"/>
    <x v="75"/>
    <x v="4"/>
    <x v="0"/>
    <x v="1"/>
    <s v="Asha"/>
    <n v="40"/>
    <n v="15120"/>
    <n v="11180.76"/>
    <n v="3939.24"/>
    <x v="76"/>
    <n v="4.2"/>
    <n v="15"/>
    <x v="2"/>
    <s v="Gold"/>
    <s v="Refunded"/>
    <n v="13.08"/>
    <n v="80.27"/>
    <n v="11722"/>
    <n v="13615"/>
    <n v="10171"/>
    <n v="11554"/>
    <x v="0"/>
  </r>
  <r>
    <n v="1101"/>
    <s v="Starbucks Bengaluru"/>
    <s v="India"/>
    <x v="0"/>
    <s v="Bengaluru"/>
    <s v="South"/>
    <x v="76"/>
    <x v="2"/>
    <x v="3"/>
    <x v="6"/>
    <s v="Neha"/>
    <n v="13"/>
    <n v="2964"/>
    <n v="1670.23"/>
    <n v="1293.77"/>
    <x v="81"/>
    <n v="4.7"/>
    <n v="5"/>
    <x v="1"/>
    <s v="Regular"/>
    <s v="Cancelled"/>
    <n v="12.97"/>
    <n v="77.59"/>
    <n v="9912"/>
    <n v="11804"/>
    <n v="8652"/>
    <n v="9391"/>
    <x v="0"/>
  </r>
  <r>
    <n v="1102"/>
    <s v="Starbucks Bengaluru"/>
    <s v="India"/>
    <x v="0"/>
    <s v="Bengaluru"/>
    <s v="South"/>
    <x v="44"/>
    <x v="0"/>
    <x v="1"/>
    <x v="8"/>
    <s v="Asha"/>
    <n v="33"/>
    <n v="12903"/>
    <n v="7640.02"/>
    <n v="5262.98"/>
    <x v="82"/>
    <n v="4"/>
    <n v="0"/>
    <x v="1"/>
    <s v="Gold"/>
    <s v="Completed"/>
    <n v="12.97"/>
    <n v="77.59"/>
    <n v="8030"/>
    <n v="9082"/>
    <n v="6300"/>
    <n v="6748"/>
    <x v="2"/>
  </r>
  <r>
    <n v="1103"/>
    <s v="Starbucks Kochi"/>
    <s v="India"/>
    <x v="4"/>
    <s v="Kochi"/>
    <s v="South"/>
    <x v="77"/>
    <x v="0"/>
    <x v="0"/>
    <x v="0"/>
    <s v="Neha"/>
    <n v="57"/>
    <n v="17499"/>
    <n v="11305.65"/>
    <n v="6193.35"/>
    <x v="83"/>
    <n v="3.8"/>
    <n v="15"/>
    <x v="1"/>
    <s v="Gold"/>
    <s v="Refunded"/>
    <n v="9.93"/>
    <n v="76.260000000000005"/>
    <n v="13510"/>
    <n v="15990"/>
    <n v="12417"/>
    <n v="13377"/>
    <x v="1"/>
  </r>
  <r>
    <n v="1104"/>
    <s v="Starbucks Bengaluru"/>
    <s v="India"/>
    <x v="0"/>
    <s v="Bengaluru"/>
    <s v="South"/>
    <x v="11"/>
    <x v="0"/>
    <x v="1"/>
    <x v="8"/>
    <s v="Vivek"/>
    <n v="15"/>
    <n v="5325"/>
    <n v="4138.99"/>
    <n v="1186.01"/>
    <x v="84"/>
    <n v="4"/>
    <n v="0"/>
    <x v="1"/>
    <s v="Regular"/>
    <s v="Completed"/>
    <n v="12.97"/>
    <n v="77.59"/>
    <n v="13337"/>
    <n v="18222"/>
    <n v="11548"/>
    <n v="12261"/>
    <x v="3"/>
  </r>
  <r>
    <n v="1105"/>
    <s v="Starbucks Kochi"/>
    <s v="India"/>
    <x v="4"/>
    <s v="Kochi"/>
    <s v="South"/>
    <x v="78"/>
    <x v="2"/>
    <x v="3"/>
    <x v="6"/>
    <s v="Rahul"/>
    <n v="27"/>
    <n v="9342"/>
    <n v="5379.92"/>
    <n v="3962.08"/>
    <x v="85"/>
    <n v="4.4000000000000004"/>
    <n v="0"/>
    <x v="1"/>
    <s v="Premium"/>
    <s v="Refunded"/>
    <n v="9.93"/>
    <n v="76.260000000000005"/>
    <n v="10127"/>
    <n v="13835"/>
    <n v="8706"/>
    <n v="11243"/>
    <x v="3"/>
  </r>
  <r>
    <n v="1106"/>
    <s v="Starbucks Bengaluru"/>
    <s v="India"/>
    <x v="0"/>
    <s v="Bengaluru"/>
    <s v="South"/>
    <x v="79"/>
    <x v="3"/>
    <x v="0"/>
    <x v="0"/>
    <s v="Anu"/>
    <n v="55"/>
    <n v="18315"/>
    <n v="13954.32"/>
    <n v="4360.68"/>
    <x v="86"/>
    <n v="3.8"/>
    <n v="10"/>
    <x v="2"/>
    <s v="Gold"/>
    <s v="Refunded"/>
    <n v="12.97"/>
    <n v="77.59"/>
    <n v="13606"/>
    <n v="15176"/>
    <n v="12601"/>
    <n v="13847"/>
    <x v="1"/>
  </r>
  <r>
    <n v="1107"/>
    <s v="Starbucks Mumbai"/>
    <s v="India"/>
    <x v="2"/>
    <s v="Mumbai"/>
    <s v="West"/>
    <x v="57"/>
    <x v="2"/>
    <x v="0"/>
    <x v="1"/>
    <s v="Rahul"/>
    <n v="12"/>
    <n v="4860"/>
    <n v="3856.32"/>
    <n v="1003.68"/>
    <x v="20"/>
    <n v="3.9"/>
    <n v="0"/>
    <x v="2"/>
    <s v="Premium"/>
    <s v="Cancelled"/>
    <n v="19.07"/>
    <n v="72.87"/>
    <n v="5508"/>
    <n v="9795"/>
    <n v="4941"/>
    <n v="7915"/>
    <x v="0"/>
  </r>
  <r>
    <n v="1108"/>
    <s v="Starbucks Chennai"/>
    <s v="India"/>
    <x v="3"/>
    <s v="Chennai"/>
    <s v="South"/>
    <x v="80"/>
    <x v="0"/>
    <x v="3"/>
    <x v="6"/>
    <s v="Neha"/>
    <n v="17"/>
    <n v="4794"/>
    <n v="2996.56"/>
    <n v="1797.44"/>
    <x v="87"/>
    <n v="4.4000000000000004"/>
    <n v="5"/>
    <x v="2"/>
    <s v="Premium"/>
    <s v="Cancelled"/>
    <n v="13.08"/>
    <n v="80.27"/>
    <n v="5830"/>
    <n v="7307"/>
    <n v="4428"/>
    <n v="5006"/>
    <x v="0"/>
  </r>
  <r>
    <n v="1109"/>
    <s v="Starbucks New Delhi"/>
    <s v="India"/>
    <x v="1"/>
    <s v="New Delhi"/>
    <s v="North"/>
    <x v="65"/>
    <x v="3"/>
    <x v="2"/>
    <x v="4"/>
    <s v="Rahul"/>
    <n v="15"/>
    <n v="6015"/>
    <n v="4418.01"/>
    <n v="1596.99"/>
    <x v="88"/>
    <n v="4.7"/>
    <n v="5"/>
    <x v="0"/>
    <s v="Premium"/>
    <s v="Cancelled"/>
    <n v="28.61"/>
    <n v="77.2"/>
    <n v="6471"/>
    <n v="9990"/>
    <n v="5543"/>
    <n v="7043"/>
    <x v="3"/>
  </r>
  <r>
    <n v="1110"/>
    <s v="Starbucks Bengaluru"/>
    <s v="India"/>
    <x v="0"/>
    <s v="Bengaluru"/>
    <s v="South"/>
    <x v="81"/>
    <x v="5"/>
    <x v="0"/>
    <x v="5"/>
    <s v="Neha"/>
    <n v="39"/>
    <n v="12909"/>
    <n v="9263.17"/>
    <n v="3645.83"/>
    <x v="20"/>
    <n v="3.6"/>
    <n v="15"/>
    <x v="1"/>
    <s v="Regular"/>
    <s v="Cancelled"/>
    <n v="12.97"/>
    <n v="77.59"/>
    <n v="7827"/>
    <n v="12437"/>
    <n v="7127"/>
    <n v="10000"/>
    <x v="2"/>
  </r>
  <r>
    <n v="1111"/>
    <s v="Starbucks Kochi"/>
    <s v="India"/>
    <x v="4"/>
    <s v="Kochi"/>
    <s v="South"/>
    <x v="50"/>
    <x v="2"/>
    <x v="3"/>
    <x v="6"/>
    <s v="Neha"/>
    <n v="31"/>
    <n v="12648"/>
    <n v="9706.48"/>
    <n v="2941.52"/>
    <x v="89"/>
    <n v="5"/>
    <n v="15"/>
    <x v="2"/>
    <s v="Regular"/>
    <s v="Refunded"/>
    <n v="9.93"/>
    <n v="76.260000000000005"/>
    <n v="10338"/>
    <n v="14596"/>
    <n v="8644"/>
    <n v="11164"/>
    <x v="1"/>
  </r>
  <r>
    <n v="1112"/>
    <s v="Starbucks Chennai"/>
    <s v="India"/>
    <x v="3"/>
    <s v="Chennai"/>
    <s v="South"/>
    <x v="82"/>
    <x v="3"/>
    <x v="3"/>
    <x v="7"/>
    <s v="Anu"/>
    <n v="54"/>
    <n v="16578"/>
    <n v="13073.67"/>
    <n v="3504.33"/>
    <x v="73"/>
    <n v="3.6"/>
    <n v="0"/>
    <x v="1"/>
    <s v="Regular"/>
    <s v="Completed"/>
    <n v="13.08"/>
    <n v="80.27"/>
    <n v="9806"/>
    <n v="11939"/>
    <n v="8827"/>
    <n v="11588"/>
    <x v="1"/>
  </r>
  <r>
    <n v="1113"/>
    <s v="Starbucks Bengaluru"/>
    <s v="India"/>
    <x v="0"/>
    <s v="Bengaluru"/>
    <s v="South"/>
    <x v="83"/>
    <x v="0"/>
    <x v="1"/>
    <x v="8"/>
    <s v="Neha"/>
    <n v="31"/>
    <n v="9238"/>
    <n v="7025.67"/>
    <n v="2212.33"/>
    <x v="90"/>
    <n v="4.0999999999999996"/>
    <n v="0"/>
    <x v="0"/>
    <s v="Premium"/>
    <s v="Refunded"/>
    <n v="12.97"/>
    <n v="77.59"/>
    <n v="14076"/>
    <n v="16243"/>
    <n v="12248"/>
    <n v="16013"/>
    <x v="3"/>
  </r>
  <r>
    <n v="1114"/>
    <s v="Starbucks Kochi"/>
    <s v="India"/>
    <x v="4"/>
    <s v="Kochi"/>
    <s v="South"/>
    <x v="31"/>
    <x v="3"/>
    <x v="2"/>
    <x v="4"/>
    <s v="Anu"/>
    <n v="6"/>
    <n v="1590"/>
    <n v="1212.7"/>
    <n v="377.3"/>
    <x v="91"/>
    <n v="4"/>
    <n v="5"/>
    <x v="1"/>
    <s v="Gold"/>
    <s v="Completed"/>
    <n v="9.93"/>
    <n v="76.260000000000005"/>
    <n v="14464"/>
    <n v="15638"/>
    <n v="13032"/>
    <n v="15378"/>
    <x v="3"/>
  </r>
  <r>
    <n v="1115"/>
    <s v="Starbucks New Delhi"/>
    <s v="India"/>
    <x v="1"/>
    <s v="New Delhi"/>
    <s v="North"/>
    <x v="45"/>
    <x v="3"/>
    <x v="2"/>
    <x v="4"/>
    <s v="Rahul"/>
    <n v="54"/>
    <n v="11988"/>
    <n v="8480.06"/>
    <n v="3507.94"/>
    <x v="92"/>
    <n v="3.7"/>
    <n v="5"/>
    <x v="1"/>
    <s v="Premium"/>
    <s v="Completed"/>
    <n v="28.61"/>
    <n v="77.2"/>
    <n v="5422"/>
    <n v="7812"/>
    <n v="4806"/>
    <n v="7583"/>
    <x v="1"/>
  </r>
  <r>
    <n v="1116"/>
    <s v="Starbucks Mumbai"/>
    <s v="India"/>
    <x v="2"/>
    <s v="Mumbai"/>
    <s v="West"/>
    <x v="84"/>
    <x v="5"/>
    <x v="0"/>
    <x v="5"/>
    <s v="Anu"/>
    <n v="11"/>
    <n v="3443"/>
    <n v="2356.66"/>
    <n v="1086.3399999999999"/>
    <x v="93"/>
    <n v="4.7"/>
    <n v="5"/>
    <x v="2"/>
    <s v="Premium"/>
    <s v="Cancelled"/>
    <n v="19.07"/>
    <n v="72.87"/>
    <n v="13599"/>
    <n v="16894"/>
    <n v="12870"/>
    <n v="13026"/>
    <x v="2"/>
  </r>
  <r>
    <n v="1117"/>
    <s v="Starbucks New Delhi"/>
    <s v="India"/>
    <x v="1"/>
    <s v="New Delhi"/>
    <s v="North"/>
    <x v="35"/>
    <x v="1"/>
    <x v="0"/>
    <x v="0"/>
    <s v="Vivek"/>
    <n v="45"/>
    <n v="10215"/>
    <n v="7187.11"/>
    <n v="3027.89"/>
    <x v="75"/>
    <n v="4.4000000000000004"/>
    <n v="0"/>
    <x v="0"/>
    <s v="Gold"/>
    <s v="Refunded"/>
    <n v="28.61"/>
    <n v="77.2"/>
    <n v="7538"/>
    <n v="11494"/>
    <n v="6894"/>
    <n v="9120"/>
    <x v="0"/>
  </r>
  <r>
    <n v="1118"/>
    <s v="Starbucks Mumbai"/>
    <s v="India"/>
    <x v="2"/>
    <s v="Mumbai"/>
    <s v="West"/>
    <x v="4"/>
    <x v="0"/>
    <x v="1"/>
    <x v="8"/>
    <s v="Asha"/>
    <n v="19"/>
    <n v="5662"/>
    <n v="3543.47"/>
    <n v="2118.5300000000002"/>
    <x v="63"/>
    <n v="4.5"/>
    <n v="10"/>
    <x v="0"/>
    <s v="Regular"/>
    <s v="Completed"/>
    <n v="19.07"/>
    <n v="72.87"/>
    <n v="9485"/>
    <n v="13701"/>
    <n v="7989"/>
    <n v="8692"/>
    <x v="2"/>
  </r>
  <r>
    <n v="1119"/>
    <s v="Starbucks New Delhi"/>
    <s v="India"/>
    <x v="1"/>
    <s v="New Delhi"/>
    <s v="North"/>
    <x v="6"/>
    <x v="3"/>
    <x v="1"/>
    <x v="2"/>
    <s v="Anu"/>
    <n v="49"/>
    <n v="15092"/>
    <n v="9349.74"/>
    <n v="5742.26"/>
    <x v="92"/>
    <n v="4.9000000000000004"/>
    <n v="0"/>
    <x v="1"/>
    <s v="Premium"/>
    <s v="Cancelled"/>
    <n v="28.61"/>
    <n v="77.2"/>
    <n v="7241"/>
    <n v="10775"/>
    <n v="5643"/>
    <n v="9993"/>
    <x v="3"/>
  </r>
  <r>
    <n v="1120"/>
    <s v="Starbucks Chennai"/>
    <s v="India"/>
    <x v="3"/>
    <s v="Chennai"/>
    <s v="South"/>
    <x v="69"/>
    <x v="3"/>
    <x v="1"/>
    <x v="8"/>
    <s v="Rahul"/>
    <n v="33"/>
    <n v="9042"/>
    <n v="6379.51"/>
    <n v="2662.49"/>
    <x v="94"/>
    <n v="4.8"/>
    <n v="5"/>
    <x v="1"/>
    <s v="Premium"/>
    <s v="Cancelled"/>
    <n v="13.08"/>
    <n v="80.27"/>
    <n v="6147"/>
    <n v="9916"/>
    <n v="5256"/>
    <n v="8101"/>
    <x v="1"/>
  </r>
  <r>
    <n v="1121"/>
    <s v="Starbucks Bengaluru"/>
    <s v="India"/>
    <x v="0"/>
    <s v="Bengaluru"/>
    <s v="South"/>
    <x v="85"/>
    <x v="3"/>
    <x v="3"/>
    <x v="6"/>
    <s v="Anu"/>
    <n v="42"/>
    <n v="15120"/>
    <n v="9486.59"/>
    <n v="5633.41"/>
    <x v="95"/>
    <n v="4.0999999999999996"/>
    <n v="10"/>
    <x v="2"/>
    <s v="Gold"/>
    <s v="Completed"/>
    <n v="12.97"/>
    <n v="77.59"/>
    <n v="9893"/>
    <n v="11998"/>
    <n v="8279"/>
    <n v="11023"/>
    <x v="1"/>
  </r>
  <r>
    <n v="1122"/>
    <s v="Starbucks Chennai"/>
    <s v="India"/>
    <x v="3"/>
    <s v="Chennai"/>
    <s v="South"/>
    <x v="86"/>
    <x v="5"/>
    <x v="1"/>
    <x v="2"/>
    <s v="Rahul"/>
    <n v="38"/>
    <n v="14060"/>
    <n v="9280.33"/>
    <n v="4779.67"/>
    <x v="96"/>
    <n v="4.9000000000000004"/>
    <n v="5"/>
    <x v="2"/>
    <s v="Regular"/>
    <s v="Cancelled"/>
    <n v="13.08"/>
    <n v="80.27"/>
    <n v="13946"/>
    <n v="17208"/>
    <n v="12153"/>
    <n v="14598"/>
    <x v="3"/>
  </r>
  <r>
    <n v="1123"/>
    <s v="Starbucks New Delhi"/>
    <s v="India"/>
    <x v="1"/>
    <s v="New Delhi"/>
    <s v="North"/>
    <x v="87"/>
    <x v="4"/>
    <x v="0"/>
    <x v="1"/>
    <s v="Anu"/>
    <n v="44"/>
    <n v="18392"/>
    <n v="13944.36"/>
    <n v="4447.6400000000003"/>
    <x v="97"/>
    <n v="3.7"/>
    <n v="15"/>
    <x v="1"/>
    <s v="Regular"/>
    <s v="Refunded"/>
    <n v="28.61"/>
    <n v="77.2"/>
    <n v="9645"/>
    <n v="13101"/>
    <n v="8090"/>
    <n v="8477"/>
    <x v="1"/>
  </r>
  <r>
    <n v="1124"/>
    <s v="Starbucks New Delhi"/>
    <s v="India"/>
    <x v="1"/>
    <s v="New Delhi"/>
    <s v="North"/>
    <x v="27"/>
    <x v="1"/>
    <x v="2"/>
    <x v="3"/>
    <s v="Asha"/>
    <n v="37"/>
    <n v="12506"/>
    <n v="7238.25"/>
    <n v="5267.75"/>
    <x v="98"/>
    <n v="4.7"/>
    <n v="15"/>
    <x v="1"/>
    <s v="Regular"/>
    <s v="Completed"/>
    <n v="28.61"/>
    <n v="77.2"/>
    <n v="9601"/>
    <n v="14431"/>
    <n v="7601"/>
    <n v="9301"/>
    <x v="2"/>
  </r>
  <r>
    <n v="1125"/>
    <s v="Starbucks Bengaluru"/>
    <s v="India"/>
    <x v="0"/>
    <s v="Bengaluru"/>
    <s v="South"/>
    <x v="88"/>
    <x v="2"/>
    <x v="0"/>
    <x v="5"/>
    <s v="Asha"/>
    <n v="52"/>
    <n v="13728"/>
    <n v="8476.11"/>
    <n v="5251.89"/>
    <x v="36"/>
    <n v="4.4000000000000004"/>
    <n v="0"/>
    <x v="0"/>
    <s v="Premium"/>
    <s v="Completed"/>
    <n v="12.97"/>
    <n v="77.59"/>
    <n v="11483"/>
    <n v="15109"/>
    <n v="9562"/>
    <n v="12792"/>
    <x v="3"/>
  </r>
  <r>
    <n v="1126"/>
    <s v="Starbucks Bengaluru"/>
    <s v="India"/>
    <x v="0"/>
    <s v="Bengaluru"/>
    <s v="South"/>
    <x v="89"/>
    <x v="2"/>
    <x v="2"/>
    <x v="4"/>
    <s v="Vivek"/>
    <n v="55"/>
    <n v="22605"/>
    <n v="14577.16"/>
    <n v="8027.84"/>
    <x v="28"/>
    <n v="3.7"/>
    <n v="15"/>
    <x v="1"/>
    <s v="Regular"/>
    <s v="Cancelled"/>
    <n v="12.97"/>
    <n v="77.59"/>
    <n v="8260"/>
    <n v="10501"/>
    <n v="7102"/>
    <n v="7206"/>
    <x v="0"/>
  </r>
  <r>
    <n v="1127"/>
    <s v="Starbucks Bengaluru"/>
    <s v="India"/>
    <x v="0"/>
    <s v="Bengaluru"/>
    <s v="South"/>
    <x v="20"/>
    <x v="0"/>
    <x v="0"/>
    <x v="5"/>
    <s v="Anu"/>
    <n v="42"/>
    <n v="8358"/>
    <n v="5102.25"/>
    <n v="3255.75"/>
    <x v="30"/>
    <n v="4.2"/>
    <n v="5"/>
    <x v="1"/>
    <s v="Regular"/>
    <s v="Completed"/>
    <n v="12.97"/>
    <n v="77.59"/>
    <n v="14174"/>
    <n v="16609"/>
    <n v="13383"/>
    <n v="15577"/>
    <x v="2"/>
  </r>
  <r>
    <n v="1128"/>
    <s v="Starbucks Kochi"/>
    <s v="India"/>
    <x v="4"/>
    <s v="Kochi"/>
    <s v="South"/>
    <x v="90"/>
    <x v="5"/>
    <x v="1"/>
    <x v="2"/>
    <s v="Anu"/>
    <n v="22"/>
    <n v="4752"/>
    <n v="2756.77"/>
    <n v="1995.23"/>
    <x v="99"/>
    <n v="3.9"/>
    <n v="10"/>
    <x v="0"/>
    <s v="Regular"/>
    <s v="Completed"/>
    <n v="9.93"/>
    <n v="76.260000000000005"/>
    <n v="12630"/>
    <n v="16226"/>
    <n v="11334"/>
    <n v="13672"/>
    <x v="0"/>
  </r>
  <r>
    <n v="1129"/>
    <s v="Starbucks Mumbai"/>
    <s v="India"/>
    <x v="2"/>
    <s v="Mumbai"/>
    <s v="West"/>
    <x v="91"/>
    <x v="3"/>
    <x v="0"/>
    <x v="5"/>
    <s v="Anu"/>
    <n v="54"/>
    <n v="10854"/>
    <n v="7429.71"/>
    <n v="3424.29"/>
    <x v="13"/>
    <n v="5"/>
    <n v="0"/>
    <x v="0"/>
    <s v="Gold"/>
    <s v="Refunded"/>
    <n v="19.07"/>
    <n v="72.87"/>
    <n v="8034"/>
    <n v="11373"/>
    <n v="6412"/>
    <n v="10757"/>
    <x v="1"/>
  </r>
  <r>
    <n v="1130"/>
    <s v="Starbucks Chennai"/>
    <s v="India"/>
    <x v="3"/>
    <s v="Chennai"/>
    <s v="South"/>
    <x v="83"/>
    <x v="0"/>
    <x v="3"/>
    <x v="6"/>
    <s v="Neha"/>
    <n v="12"/>
    <n v="2532"/>
    <n v="1582.91"/>
    <n v="949.09"/>
    <x v="54"/>
    <n v="3.9"/>
    <n v="10"/>
    <x v="0"/>
    <s v="Gold"/>
    <s v="Cancelled"/>
    <n v="13.08"/>
    <n v="80.27"/>
    <n v="14194"/>
    <n v="18455"/>
    <n v="13345"/>
    <n v="14439"/>
    <x v="3"/>
  </r>
  <r>
    <n v="1131"/>
    <s v="Starbucks Bengaluru"/>
    <s v="India"/>
    <x v="0"/>
    <s v="Bengaluru"/>
    <s v="South"/>
    <x v="41"/>
    <x v="2"/>
    <x v="0"/>
    <x v="1"/>
    <s v="Anu"/>
    <n v="54"/>
    <n v="13554"/>
    <n v="8173.68"/>
    <n v="5380.32"/>
    <x v="100"/>
    <n v="4.9000000000000004"/>
    <n v="5"/>
    <x v="2"/>
    <s v="Premium"/>
    <s v="Refunded"/>
    <n v="12.97"/>
    <n v="77.59"/>
    <n v="8912"/>
    <n v="12631"/>
    <n v="7645"/>
    <n v="9539"/>
    <x v="3"/>
  </r>
  <r>
    <n v="1132"/>
    <s v="Starbucks Mumbai"/>
    <s v="India"/>
    <x v="2"/>
    <s v="Mumbai"/>
    <s v="West"/>
    <x v="92"/>
    <x v="2"/>
    <x v="0"/>
    <x v="5"/>
    <s v="Anu"/>
    <n v="48"/>
    <n v="18816"/>
    <n v="14594.79"/>
    <n v="4221.21"/>
    <x v="101"/>
    <n v="4.4000000000000004"/>
    <n v="10"/>
    <x v="0"/>
    <s v="Regular"/>
    <s v="Cancelled"/>
    <n v="19.07"/>
    <n v="72.87"/>
    <n v="6556"/>
    <n v="7792"/>
    <n v="4684"/>
    <n v="5288"/>
    <x v="2"/>
  </r>
  <r>
    <n v="1133"/>
    <s v="Starbucks Chennai"/>
    <s v="India"/>
    <x v="3"/>
    <s v="Chennai"/>
    <s v="South"/>
    <x v="47"/>
    <x v="2"/>
    <x v="2"/>
    <x v="4"/>
    <s v="Rahul"/>
    <n v="34"/>
    <n v="10370"/>
    <n v="6082.43"/>
    <n v="4287.57"/>
    <x v="102"/>
    <n v="3.9"/>
    <n v="10"/>
    <x v="2"/>
    <s v="Gold"/>
    <s v="Refunded"/>
    <n v="13.08"/>
    <n v="80.27"/>
    <n v="13856"/>
    <n v="16683"/>
    <n v="12155"/>
    <n v="12407"/>
    <x v="0"/>
  </r>
  <r>
    <n v="1134"/>
    <s v="Starbucks Mumbai"/>
    <s v="India"/>
    <x v="2"/>
    <s v="Mumbai"/>
    <s v="West"/>
    <x v="93"/>
    <x v="4"/>
    <x v="1"/>
    <x v="8"/>
    <s v="Neha"/>
    <n v="15"/>
    <n v="3480"/>
    <n v="2255.33"/>
    <n v="1224.67"/>
    <x v="69"/>
    <n v="4.2"/>
    <n v="10"/>
    <x v="1"/>
    <s v="Gold"/>
    <s v="Refunded"/>
    <n v="19.07"/>
    <n v="72.87"/>
    <n v="6125"/>
    <n v="8320"/>
    <n v="4199"/>
    <n v="7615"/>
    <x v="1"/>
  </r>
  <r>
    <n v="1135"/>
    <s v="Starbucks Kochi"/>
    <s v="India"/>
    <x v="4"/>
    <s v="Kochi"/>
    <s v="South"/>
    <x v="94"/>
    <x v="0"/>
    <x v="2"/>
    <x v="3"/>
    <s v="Vivek"/>
    <n v="15"/>
    <n v="4515"/>
    <n v="2573.13"/>
    <n v="1941.87"/>
    <x v="100"/>
    <n v="4.8"/>
    <n v="5"/>
    <x v="0"/>
    <s v="Premium"/>
    <s v="Completed"/>
    <n v="9.93"/>
    <n v="76.260000000000005"/>
    <n v="5087"/>
    <n v="8856"/>
    <n v="3453"/>
    <n v="7130"/>
    <x v="3"/>
  </r>
  <r>
    <n v="1136"/>
    <s v="Starbucks Bengaluru"/>
    <s v="India"/>
    <x v="0"/>
    <s v="Bengaluru"/>
    <s v="South"/>
    <x v="95"/>
    <x v="2"/>
    <x v="3"/>
    <x v="7"/>
    <s v="Vivek"/>
    <n v="38"/>
    <n v="10792"/>
    <n v="6292.98"/>
    <n v="4499.0200000000004"/>
    <x v="103"/>
    <n v="4.8"/>
    <n v="5"/>
    <x v="2"/>
    <s v="Regular"/>
    <s v="Refunded"/>
    <n v="12.97"/>
    <n v="77.59"/>
    <n v="9092"/>
    <n v="10625"/>
    <n v="8455"/>
    <n v="10488"/>
    <x v="3"/>
  </r>
  <r>
    <n v="1137"/>
    <s v="Starbucks Kochi"/>
    <s v="India"/>
    <x v="4"/>
    <s v="Kochi"/>
    <s v="South"/>
    <x v="37"/>
    <x v="2"/>
    <x v="3"/>
    <x v="7"/>
    <s v="Vivek"/>
    <n v="8"/>
    <n v="2920"/>
    <n v="2041.36"/>
    <n v="878.64"/>
    <x v="20"/>
    <n v="3.8"/>
    <n v="10"/>
    <x v="1"/>
    <s v="Regular"/>
    <s v="Refunded"/>
    <n v="9.93"/>
    <n v="76.260000000000005"/>
    <n v="6718"/>
    <n v="8268"/>
    <n v="5173"/>
    <n v="7590"/>
    <x v="3"/>
  </r>
  <r>
    <n v="1138"/>
    <s v="Starbucks New Delhi"/>
    <s v="India"/>
    <x v="1"/>
    <s v="New Delhi"/>
    <s v="North"/>
    <x v="96"/>
    <x v="1"/>
    <x v="1"/>
    <x v="2"/>
    <s v="Vivek"/>
    <n v="9"/>
    <n v="3510"/>
    <n v="2167.7399999999998"/>
    <n v="1342.26"/>
    <x v="40"/>
    <n v="4.8"/>
    <n v="5"/>
    <x v="0"/>
    <s v="Gold"/>
    <s v="Cancelled"/>
    <n v="28.61"/>
    <n v="77.2"/>
    <n v="5538"/>
    <n v="9541"/>
    <n v="4396"/>
    <n v="5199"/>
    <x v="1"/>
  </r>
  <r>
    <n v="1139"/>
    <s v="Starbucks Mumbai"/>
    <s v="India"/>
    <x v="2"/>
    <s v="Mumbai"/>
    <s v="West"/>
    <x v="97"/>
    <x v="0"/>
    <x v="2"/>
    <x v="3"/>
    <s v="Anu"/>
    <n v="60"/>
    <n v="15240"/>
    <n v="9075.27"/>
    <n v="6164.73"/>
    <x v="104"/>
    <n v="4.0999999999999996"/>
    <n v="0"/>
    <x v="1"/>
    <s v="Gold"/>
    <s v="Completed"/>
    <n v="19.07"/>
    <n v="72.87"/>
    <n v="7300"/>
    <n v="9533"/>
    <n v="6655"/>
    <n v="8739"/>
    <x v="3"/>
  </r>
  <r>
    <n v="1140"/>
    <s v="Starbucks Kochi"/>
    <s v="India"/>
    <x v="4"/>
    <s v="Kochi"/>
    <s v="South"/>
    <x v="98"/>
    <x v="5"/>
    <x v="3"/>
    <x v="7"/>
    <s v="Vivek"/>
    <n v="56"/>
    <n v="15176"/>
    <n v="9089.5400000000009"/>
    <n v="6086.46"/>
    <x v="17"/>
    <n v="3.8"/>
    <n v="0"/>
    <x v="0"/>
    <s v="Premium"/>
    <s v="Refunded"/>
    <n v="9.93"/>
    <n v="76.260000000000005"/>
    <n v="9335"/>
    <n v="12941"/>
    <n v="7927"/>
    <n v="11726"/>
    <x v="3"/>
  </r>
  <r>
    <n v="1141"/>
    <s v="Starbucks Kochi"/>
    <s v="India"/>
    <x v="4"/>
    <s v="Kochi"/>
    <s v="South"/>
    <x v="99"/>
    <x v="3"/>
    <x v="2"/>
    <x v="4"/>
    <s v="Anu"/>
    <n v="13"/>
    <n v="2951"/>
    <n v="2177.64"/>
    <n v="773.36"/>
    <x v="105"/>
    <n v="4.4000000000000004"/>
    <n v="15"/>
    <x v="0"/>
    <s v="Gold"/>
    <s v="Completed"/>
    <n v="9.93"/>
    <n v="76.260000000000005"/>
    <n v="10842"/>
    <n v="14343"/>
    <n v="9925"/>
    <n v="10371"/>
    <x v="1"/>
  </r>
  <r>
    <n v="1142"/>
    <s v="Starbucks Chennai"/>
    <s v="India"/>
    <x v="3"/>
    <s v="Chennai"/>
    <s v="South"/>
    <x v="100"/>
    <x v="3"/>
    <x v="0"/>
    <x v="0"/>
    <s v="Rahul"/>
    <n v="37"/>
    <n v="15022"/>
    <n v="9244.58"/>
    <n v="5777.42"/>
    <x v="106"/>
    <n v="4.3"/>
    <n v="15"/>
    <x v="0"/>
    <s v="Premium"/>
    <s v="Completed"/>
    <n v="13.08"/>
    <n v="80.27"/>
    <n v="7114"/>
    <n v="10839"/>
    <n v="5656"/>
    <n v="6500"/>
    <x v="2"/>
  </r>
  <r>
    <n v="1143"/>
    <s v="Starbucks New Delhi"/>
    <s v="India"/>
    <x v="1"/>
    <s v="New Delhi"/>
    <s v="North"/>
    <x v="26"/>
    <x v="0"/>
    <x v="2"/>
    <x v="3"/>
    <s v="Rahul"/>
    <n v="23"/>
    <n v="9568"/>
    <n v="5397.49"/>
    <n v="4170.51"/>
    <x v="107"/>
    <n v="4.3"/>
    <n v="5"/>
    <x v="1"/>
    <s v="Regular"/>
    <s v="Completed"/>
    <n v="28.61"/>
    <n v="77.2"/>
    <n v="14479"/>
    <n v="16988"/>
    <n v="13897"/>
    <n v="14763"/>
    <x v="0"/>
  </r>
  <r>
    <n v="1144"/>
    <s v="Starbucks Kochi"/>
    <s v="India"/>
    <x v="4"/>
    <s v="Kochi"/>
    <s v="South"/>
    <x v="101"/>
    <x v="3"/>
    <x v="0"/>
    <x v="0"/>
    <s v="Asha"/>
    <n v="39"/>
    <n v="8580"/>
    <n v="5237.2"/>
    <n v="3342.8"/>
    <x v="108"/>
    <n v="4.7"/>
    <n v="10"/>
    <x v="1"/>
    <s v="Premium"/>
    <s v="Cancelled"/>
    <n v="9.93"/>
    <n v="76.260000000000005"/>
    <n v="13585"/>
    <n v="15608"/>
    <n v="12949"/>
    <n v="14990"/>
    <x v="3"/>
  </r>
  <r>
    <n v="1145"/>
    <s v="Starbucks Kochi"/>
    <s v="India"/>
    <x v="4"/>
    <s v="Kochi"/>
    <s v="South"/>
    <x v="102"/>
    <x v="4"/>
    <x v="3"/>
    <x v="6"/>
    <s v="Vivek"/>
    <n v="27"/>
    <n v="7317"/>
    <n v="5712.79"/>
    <n v="1604.21"/>
    <x v="109"/>
    <n v="4.8"/>
    <n v="5"/>
    <x v="0"/>
    <s v="Regular"/>
    <s v="Completed"/>
    <n v="9.93"/>
    <n v="76.260000000000005"/>
    <n v="8258"/>
    <n v="12840"/>
    <n v="7199"/>
    <n v="10013"/>
    <x v="3"/>
  </r>
  <r>
    <n v="1146"/>
    <s v="Starbucks Mumbai"/>
    <s v="India"/>
    <x v="2"/>
    <s v="Mumbai"/>
    <s v="West"/>
    <x v="103"/>
    <x v="4"/>
    <x v="1"/>
    <x v="8"/>
    <s v="Asha"/>
    <n v="31"/>
    <n v="11935"/>
    <n v="7977.32"/>
    <n v="3957.68"/>
    <x v="75"/>
    <n v="4"/>
    <n v="5"/>
    <x v="0"/>
    <s v="Regular"/>
    <s v="Cancelled"/>
    <n v="19.07"/>
    <n v="72.87"/>
    <n v="6979"/>
    <n v="8482"/>
    <n v="5134"/>
    <n v="6646"/>
    <x v="3"/>
  </r>
  <r>
    <n v="1147"/>
    <s v="Starbucks Kochi"/>
    <s v="India"/>
    <x v="4"/>
    <s v="Kochi"/>
    <s v="South"/>
    <x v="104"/>
    <x v="2"/>
    <x v="3"/>
    <x v="6"/>
    <s v="Vivek"/>
    <n v="45"/>
    <n v="8865"/>
    <n v="6436.15"/>
    <n v="2428.85"/>
    <x v="72"/>
    <n v="3.5"/>
    <n v="10"/>
    <x v="1"/>
    <s v="Regular"/>
    <s v="Cancelled"/>
    <n v="9.93"/>
    <n v="76.260000000000005"/>
    <n v="11253"/>
    <n v="15687"/>
    <n v="9999"/>
    <n v="11565"/>
    <x v="2"/>
  </r>
  <r>
    <n v="1148"/>
    <s v="Starbucks New Delhi"/>
    <s v="India"/>
    <x v="1"/>
    <s v="New Delhi"/>
    <s v="North"/>
    <x v="40"/>
    <x v="3"/>
    <x v="0"/>
    <x v="0"/>
    <s v="Anu"/>
    <n v="27"/>
    <n v="9990"/>
    <n v="5786.95"/>
    <n v="4203.05"/>
    <x v="110"/>
    <n v="4.0999999999999996"/>
    <n v="15"/>
    <x v="0"/>
    <s v="Regular"/>
    <s v="Cancelled"/>
    <n v="28.61"/>
    <n v="77.2"/>
    <n v="9532"/>
    <n v="12325"/>
    <n v="8247"/>
    <n v="8310"/>
    <x v="2"/>
  </r>
  <r>
    <n v="1149"/>
    <s v="Starbucks Chennai"/>
    <s v="India"/>
    <x v="3"/>
    <s v="Chennai"/>
    <s v="South"/>
    <x v="49"/>
    <x v="5"/>
    <x v="3"/>
    <x v="7"/>
    <s v="Vivek"/>
    <n v="55"/>
    <n v="14520"/>
    <n v="9235.52"/>
    <n v="5284.48"/>
    <x v="111"/>
    <n v="4.3"/>
    <n v="5"/>
    <x v="2"/>
    <s v="Regular"/>
    <s v="Refunded"/>
    <n v="13.08"/>
    <n v="80.27"/>
    <n v="14465"/>
    <n v="16431"/>
    <n v="12963"/>
    <n v="14447"/>
    <x v="0"/>
  </r>
  <r>
    <n v="1150"/>
    <s v="Starbucks Mumbai"/>
    <s v="India"/>
    <x v="2"/>
    <s v="Mumbai"/>
    <s v="West"/>
    <x v="66"/>
    <x v="3"/>
    <x v="2"/>
    <x v="4"/>
    <s v="Vivek"/>
    <n v="49"/>
    <n v="18571"/>
    <n v="11474.33"/>
    <n v="7096.67"/>
    <x v="112"/>
    <n v="4.4000000000000004"/>
    <n v="10"/>
    <x v="1"/>
    <s v="Regular"/>
    <s v="Refunded"/>
    <n v="19.07"/>
    <n v="72.87"/>
    <n v="13727"/>
    <n v="16821"/>
    <n v="12733"/>
    <n v="15086"/>
    <x v="2"/>
  </r>
  <r>
    <n v="1151"/>
    <s v="Starbucks Chennai"/>
    <s v="India"/>
    <x v="3"/>
    <s v="Chennai"/>
    <s v="South"/>
    <x v="29"/>
    <x v="2"/>
    <x v="2"/>
    <x v="3"/>
    <s v="Neha"/>
    <n v="13"/>
    <n v="4381"/>
    <n v="3175.57"/>
    <n v="1205.43"/>
    <x v="113"/>
    <n v="4"/>
    <n v="10"/>
    <x v="2"/>
    <s v="Premium"/>
    <s v="Cancelled"/>
    <n v="13.08"/>
    <n v="80.27"/>
    <n v="5822"/>
    <n v="8093"/>
    <n v="4885"/>
    <n v="7816"/>
    <x v="2"/>
  </r>
  <r>
    <n v="1152"/>
    <s v="Starbucks Chennai"/>
    <s v="India"/>
    <x v="3"/>
    <s v="Chennai"/>
    <s v="South"/>
    <x v="77"/>
    <x v="0"/>
    <x v="0"/>
    <x v="5"/>
    <s v="Anu"/>
    <n v="5"/>
    <n v="1700"/>
    <n v="1034.93"/>
    <n v="665.07"/>
    <x v="114"/>
    <n v="5"/>
    <n v="0"/>
    <x v="2"/>
    <s v="Regular"/>
    <s v="Cancelled"/>
    <n v="13.08"/>
    <n v="80.27"/>
    <n v="5568"/>
    <n v="8724"/>
    <n v="4375"/>
    <n v="8214"/>
    <x v="2"/>
  </r>
  <r>
    <n v="1153"/>
    <s v="Starbucks Bengaluru"/>
    <s v="India"/>
    <x v="0"/>
    <s v="Bengaluru"/>
    <s v="South"/>
    <x v="67"/>
    <x v="0"/>
    <x v="1"/>
    <x v="2"/>
    <s v="Rahul"/>
    <n v="51"/>
    <n v="13617"/>
    <n v="10474.43"/>
    <n v="3142.57"/>
    <x v="115"/>
    <n v="4.3"/>
    <n v="5"/>
    <x v="2"/>
    <s v="Regular"/>
    <s v="Completed"/>
    <n v="12.97"/>
    <n v="77.59"/>
    <n v="6885"/>
    <n v="10630"/>
    <n v="5169"/>
    <n v="6654"/>
    <x v="2"/>
  </r>
  <r>
    <n v="1154"/>
    <s v="Starbucks Mumbai"/>
    <s v="India"/>
    <x v="2"/>
    <s v="Mumbai"/>
    <s v="West"/>
    <x v="105"/>
    <x v="4"/>
    <x v="3"/>
    <x v="7"/>
    <s v="Anu"/>
    <n v="46"/>
    <n v="13938"/>
    <n v="8813.7900000000009"/>
    <n v="5124.21"/>
    <x v="116"/>
    <n v="3.8"/>
    <n v="15"/>
    <x v="1"/>
    <s v="Gold"/>
    <s v="Refunded"/>
    <n v="19.07"/>
    <n v="72.87"/>
    <n v="9298"/>
    <n v="12698"/>
    <n v="7638"/>
    <n v="8900"/>
    <x v="1"/>
  </r>
  <r>
    <n v="1155"/>
    <s v="Starbucks Kochi"/>
    <s v="India"/>
    <x v="4"/>
    <s v="Kochi"/>
    <s v="South"/>
    <x v="24"/>
    <x v="4"/>
    <x v="1"/>
    <x v="2"/>
    <s v="Neha"/>
    <n v="10"/>
    <n v="2470"/>
    <n v="1835.78"/>
    <n v="634.22"/>
    <x v="91"/>
    <n v="4"/>
    <n v="0"/>
    <x v="2"/>
    <s v="Regular"/>
    <s v="Completed"/>
    <n v="9.93"/>
    <n v="76.260000000000005"/>
    <n v="14533"/>
    <n v="17842"/>
    <n v="12750"/>
    <n v="13541"/>
    <x v="1"/>
  </r>
  <r>
    <n v="1156"/>
    <s v="Starbucks Mumbai"/>
    <s v="India"/>
    <x v="2"/>
    <s v="Mumbai"/>
    <s v="West"/>
    <x v="106"/>
    <x v="1"/>
    <x v="2"/>
    <x v="4"/>
    <s v="Asha"/>
    <n v="47"/>
    <n v="13583"/>
    <n v="10235.93"/>
    <n v="3347.07"/>
    <x v="95"/>
    <n v="4.4000000000000004"/>
    <n v="15"/>
    <x v="0"/>
    <s v="Premium"/>
    <s v="Refunded"/>
    <n v="19.07"/>
    <n v="72.87"/>
    <n v="5386"/>
    <n v="6414"/>
    <n v="3511"/>
    <n v="3735"/>
    <x v="2"/>
  </r>
  <r>
    <n v="1157"/>
    <s v="Starbucks Bengaluru"/>
    <s v="India"/>
    <x v="0"/>
    <s v="Bengaluru"/>
    <s v="South"/>
    <x v="107"/>
    <x v="1"/>
    <x v="3"/>
    <x v="6"/>
    <s v="Asha"/>
    <n v="60"/>
    <n v="16020"/>
    <n v="10237.41"/>
    <n v="5782.59"/>
    <x v="117"/>
    <n v="3.6"/>
    <n v="15"/>
    <x v="1"/>
    <s v="Regular"/>
    <s v="Cancelled"/>
    <n v="12.97"/>
    <n v="77.59"/>
    <n v="13388"/>
    <n v="16105"/>
    <n v="11913"/>
    <n v="12044"/>
    <x v="3"/>
  </r>
  <r>
    <n v="1158"/>
    <s v="Starbucks New Delhi"/>
    <s v="India"/>
    <x v="1"/>
    <s v="New Delhi"/>
    <s v="North"/>
    <x v="108"/>
    <x v="4"/>
    <x v="0"/>
    <x v="1"/>
    <s v="Vivek"/>
    <n v="31"/>
    <n v="10819"/>
    <n v="7316.19"/>
    <n v="3502.81"/>
    <x v="118"/>
    <n v="4"/>
    <n v="0"/>
    <x v="1"/>
    <s v="Premium"/>
    <s v="Cancelled"/>
    <n v="28.61"/>
    <n v="77.2"/>
    <n v="7020"/>
    <n v="9724"/>
    <n v="6143"/>
    <n v="6367"/>
    <x v="3"/>
  </r>
  <r>
    <n v="1159"/>
    <s v="Starbucks New Delhi"/>
    <s v="India"/>
    <x v="1"/>
    <s v="New Delhi"/>
    <s v="North"/>
    <x v="109"/>
    <x v="1"/>
    <x v="1"/>
    <x v="2"/>
    <s v="Anu"/>
    <n v="57"/>
    <n v="16245"/>
    <n v="12176.59"/>
    <n v="4068.41"/>
    <x v="119"/>
    <n v="3.6"/>
    <n v="15"/>
    <x v="2"/>
    <s v="Regular"/>
    <s v="Completed"/>
    <n v="28.61"/>
    <n v="77.2"/>
    <n v="11268"/>
    <n v="15998"/>
    <n v="10524"/>
    <n v="14763"/>
    <x v="2"/>
  </r>
  <r>
    <n v="1160"/>
    <s v="Starbucks Kochi"/>
    <s v="India"/>
    <x v="4"/>
    <s v="Kochi"/>
    <s v="South"/>
    <x v="110"/>
    <x v="4"/>
    <x v="0"/>
    <x v="5"/>
    <s v="Rahul"/>
    <n v="42"/>
    <n v="13482"/>
    <n v="9764.4699999999993"/>
    <n v="3717.53"/>
    <x v="1"/>
    <n v="4.5999999999999996"/>
    <n v="15"/>
    <x v="1"/>
    <s v="Regular"/>
    <s v="Refunded"/>
    <n v="9.93"/>
    <n v="76.260000000000005"/>
    <n v="13564"/>
    <n v="15886"/>
    <n v="11695"/>
    <n v="13815"/>
    <x v="2"/>
  </r>
  <r>
    <n v="1161"/>
    <s v="Starbucks Kochi"/>
    <s v="India"/>
    <x v="4"/>
    <s v="Kochi"/>
    <s v="South"/>
    <x v="111"/>
    <x v="5"/>
    <x v="2"/>
    <x v="4"/>
    <s v="Rahul"/>
    <n v="16"/>
    <n v="3632"/>
    <n v="2139.61"/>
    <n v="1492.39"/>
    <x v="120"/>
    <n v="4.0999999999999996"/>
    <n v="10"/>
    <x v="0"/>
    <s v="Regular"/>
    <s v="Completed"/>
    <n v="9.93"/>
    <n v="76.260000000000005"/>
    <n v="7400"/>
    <n v="11914"/>
    <n v="6414"/>
    <n v="8701"/>
    <x v="2"/>
  </r>
  <r>
    <n v="1162"/>
    <s v="Starbucks Mumbai"/>
    <s v="India"/>
    <x v="2"/>
    <s v="Mumbai"/>
    <s v="West"/>
    <x v="46"/>
    <x v="1"/>
    <x v="1"/>
    <x v="2"/>
    <s v="Anu"/>
    <n v="36"/>
    <n v="14220"/>
    <n v="10821.4"/>
    <n v="3398.6"/>
    <x v="121"/>
    <n v="4.3"/>
    <n v="5"/>
    <x v="1"/>
    <s v="Regular"/>
    <s v="Cancelled"/>
    <n v="19.07"/>
    <n v="72.87"/>
    <n v="14169"/>
    <n v="17151"/>
    <n v="13387"/>
    <n v="16702"/>
    <x v="0"/>
  </r>
  <r>
    <n v="1163"/>
    <s v="Starbucks Mumbai"/>
    <s v="India"/>
    <x v="2"/>
    <s v="Mumbai"/>
    <s v="West"/>
    <x v="40"/>
    <x v="3"/>
    <x v="3"/>
    <x v="6"/>
    <s v="Asha"/>
    <n v="57"/>
    <n v="14763"/>
    <n v="9888.7199999999993"/>
    <n v="4874.28"/>
    <x v="64"/>
    <n v="4.3"/>
    <n v="10"/>
    <x v="1"/>
    <s v="Gold"/>
    <s v="Refunded"/>
    <n v="19.07"/>
    <n v="72.87"/>
    <n v="9363"/>
    <n v="10438"/>
    <n v="8337"/>
    <n v="9034"/>
    <x v="2"/>
  </r>
  <r>
    <n v="1164"/>
    <s v="Starbucks Mumbai"/>
    <s v="India"/>
    <x v="2"/>
    <s v="Mumbai"/>
    <s v="West"/>
    <x v="70"/>
    <x v="3"/>
    <x v="0"/>
    <x v="5"/>
    <s v="Vivek"/>
    <n v="38"/>
    <n v="9348"/>
    <n v="7032.8"/>
    <n v="2315.1999999999998"/>
    <x v="122"/>
    <n v="4.2"/>
    <n v="15"/>
    <x v="1"/>
    <s v="Regular"/>
    <s v="Refunded"/>
    <n v="19.07"/>
    <n v="72.87"/>
    <n v="14263"/>
    <n v="16080"/>
    <n v="13731"/>
    <n v="14776"/>
    <x v="2"/>
  </r>
  <r>
    <n v="1165"/>
    <s v="Starbucks Mumbai"/>
    <s v="India"/>
    <x v="2"/>
    <s v="Mumbai"/>
    <s v="West"/>
    <x v="101"/>
    <x v="3"/>
    <x v="2"/>
    <x v="3"/>
    <s v="Neha"/>
    <n v="50"/>
    <n v="13150"/>
    <n v="10503.14"/>
    <n v="2646.86"/>
    <x v="37"/>
    <n v="3.6"/>
    <n v="5"/>
    <x v="2"/>
    <s v="Regular"/>
    <s v="Refunded"/>
    <n v="19.07"/>
    <n v="72.87"/>
    <n v="11891"/>
    <n v="16036"/>
    <n v="11139"/>
    <n v="13397"/>
    <x v="3"/>
  </r>
  <r>
    <n v="1166"/>
    <s v="Starbucks Kochi"/>
    <s v="India"/>
    <x v="4"/>
    <s v="Kochi"/>
    <s v="South"/>
    <x v="112"/>
    <x v="1"/>
    <x v="2"/>
    <x v="3"/>
    <s v="Rahul"/>
    <n v="52"/>
    <n v="9620"/>
    <n v="5305.63"/>
    <n v="4314.37"/>
    <x v="123"/>
    <n v="3.7"/>
    <n v="15"/>
    <x v="1"/>
    <s v="Premium"/>
    <s v="Completed"/>
    <n v="9.93"/>
    <n v="76.260000000000005"/>
    <n v="5970"/>
    <n v="10015"/>
    <n v="5319"/>
    <n v="9927"/>
    <x v="3"/>
  </r>
  <r>
    <n v="1167"/>
    <s v="Starbucks Chennai"/>
    <s v="India"/>
    <x v="3"/>
    <s v="Chennai"/>
    <s v="South"/>
    <x v="113"/>
    <x v="0"/>
    <x v="2"/>
    <x v="4"/>
    <s v="Neha"/>
    <n v="28"/>
    <n v="5600"/>
    <n v="4082.48"/>
    <n v="1517.52"/>
    <x v="124"/>
    <n v="3.7"/>
    <n v="5"/>
    <x v="2"/>
    <s v="Regular"/>
    <s v="Cancelled"/>
    <n v="13.08"/>
    <n v="80.27"/>
    <n v="12066"/>
    <n v="15189"/>
    <n v="11126"/>
    <n v="14090"/>
    <x v="1"/>
  </r>
  <r>
    <n v="1168"/>
    <s v="Starbucks Mumbai"/>
    <s v="India"/>
    <x v="2"/>
    <s v="Mumbai"/>
    <s v="West"/>
    <x v="76"/>
    <x v="2"/>
    <x v="0"/>
    <x v="5"/>
    <s v="Rahul"/>
    <n v="41"/>
    <n v="11644"/>
    <n v="6446.79"/>
    <n v="5197.21"/>
    <x v="125"/>
    <n v="4.9000000000000004"/>
    <n v="5"/>
    <x v="0"/>
    <s v="Gold"/>
    <s v="Refunded"/>
    <n v="19.07"/>
    <n v="72.87"/>
    <n v="12623"/>
    <n v="15657"/>
    <n v="11263"/>
    <n v="14573"/>
    <x v="1"/>
  </r>
  <r>
    <n v="1169"/>
    <s v="Starbucks Mumbai"/>
    <s v="India"/>
    <x v="2"/>
    <s v="Mumbai"/>
    <s v="West"/>
    <x v="114"/>
    <x v="3"/>
    <x v="1"/>
    <x v="2"/>
    <s v="Neha"/>
    <n v="43"/>
    <n v="17286"/>
    <n v="9540.36"/>
    <n v="7745.64"/>
    <x v="126"/>
    <n v="4.2"/>
    <n v="15"/>
    <x v="2"/>
    <s v="Regular"/>
    <s v="Cancelled"/>
    <n v="19.07"/>
    <n v="72.87"/>
    <n v="10239"/>
    <n v="11626"/>
    <n v="8946"/>
    <n v="10925"/>
    <x v="3"/>
  </r>
  <r>
    <n v="1170"/>
    <s v="Starbucks Mumbai"/>
    <s v="India"/>
    <x v="2"/>
    <s v="Mumbai"/>
    <s v="West"/>
    <x v="115"/>
    <x v="5"/>
    <x v="2"/>
    <x v="4"/>
    <s v="Anu"/>
    <n v="46"/>
    <n v="13708"/>
    <n v="8790.98"/>
    <n v="4917.0200000000004"/>
    <x v="115"/>
    <n v="4.8"/>
    <n v="15"/>
    <x v="2"/>
    <s v="Premium"/>
    <s v="Completed"/>
    <n v="19.07"/>
    <n v="72.87"/>
    <n v="13447"/>
    <n v="18115"/>
    <n v="11752"/>
    <n v="17976"/>
    <x v="2"/>
  </r>
  <r>
    <n v="1171"/>
    <s v="Starbucks Chennai"/>
    <s v="India"/>
    <x v="3"/>
    <s v="Chennai"/>
    <s v="South"/>
    <x v="82"/>
    <x v="3"/>
    <x v="2"/>
    <x v="3"/>
    <s v="Anu"/>
    <n v="24"/>
    <n v="9600"/>
    <n v="6574.71"/>
    <n v="3025.29"/>
    <x v="127"/>
    <n v="3.8"/>
    <n v="0"/>
    <x v="1"/>
    <s v="Gold"/>
    <s v="Cancelled"/>
    <n v="13.08"/>
    <n v="80.27"/>
    <n v="9188"/>
    <n v="11779"/>
    <n v="8034"/>
    <n v="10699"/>
    <x v="2"/>
  </r>
  <r>
    <n v="1172"/>
    <s v="Starbucks Mumbai"/>
    <s v="India"/>
    <x v="2"/>
    <s v="Mumbai"/>
    <s v="West"/>
    <x v="116"/>
    <x v="4"/>
    <x v="0"/>
    <x v="1"/>
    <s v="Neha"/>
    <n v="39"/>
    <n v="9984"/>
    <n v="7193.04"/>
    <n v="2790.96"/>
    <x v="4"/>
    <n v="4.3"/>
    <n v="5"/>
    <x v="1"/>
    <s v="Gold"/>
    <s v="Completed"/>
    <n v="19.07"/>
    <n v="72.87"/>
    <n v="14831"/>
    <n v="15886"/>
    <n v="14262"/>
    <n v="15557"/>
    <x v="3"/>
  </r>
  <r>
    <n v="1173"/>
    <s v="Starbucks Chennai"/>
    <s v="India"/>
    <x v="3"/>
    <s v="Chennai"/>
    <s v="South"/>
    <x v="117"/>
    <x v="0"/>
    <x v="1"/>
    <x v="8"/>
    <s v="Vivek"/>
    <n v="30"/>
    <n v="8100"/>
    <n v="5390.74"/>
    <n v="2709.26"/>
    <x v="128"/>
    <n v="3.8"/>
    <n v="10"/>
    <x v="0"/>
    <s v="Gold"/>
    <s v="Cancelled"/>
    <n v="13.08"/>
    <n v="80.27"/>
    <n v="7938"/>
    <n v="10858"/>
    <n v="6959"/>
    <n v="10025"/>
    <x v="0"/>
  </r>
  <r>
    <n v="1174"/>
    <s v="Starbucks New Delhi"/>
    <s v="India"/>
    <x v="1"/>
    <s v="New Delhi"/>
    <s v="North"/>
    <x v="14"/>
    <x v="5"/>
    <x v="3"/>
    <x v="7"/>
    <s v="Anu"/>
    <n v="11"/>
    <n v="2178"/>
    <n v="1397.77"/>
    <n v="780.23"/>
    <x v="129"/>
    <n v="3.6"/>
    <n v="15"/>
    <x v="0"/>
    <s v="Regular"/>
    <s v="Refunded"/>
    <n v="28.61"/>
    <n v="77.2"/>
    <n v="8077"/>
    <n v="11495"/>
    <n v="6551"/>
    <n v="9267"/>
    <x v="0"/>
  </r>
  <r>
    <n v="1175"/>
    <s v="Starbucks Chennai"/>
    <s v="India"/>
    <x v="3"/>
    <s v="Chennai"/>
    <s v="South"/>
    <x v="93"/>
    <x v="4"/>
    <x v="2"/>
    <x v="3"/>
    <s v="Vivek"/>
    <n v="48"/>
    <n v="14448"/>
    <n v="11551.71"/>
    <n v="2896.29"/>
    <x v="130"/>
    <n v="4.7"/>
    <n v="0"/>
    <x v="2"/>
    <s v="Gold"/>
    <s v="Cancelled"/>
    <n v="13.08"/>
    <n v="80.27"/>
    <n v="11519"/>
    <n v="14827"/>
    <n v="10247"/>
    <n v="11937"/>
    <x v="1"/>
  </r>
  <r>
    <n v="1176"/>
    <s v="Starbucks Bengaluru"/>
    <s v="India"/>
    <x v="0"/>
    <s v="Bengaluru"/>
    <s v="South"/>
    <x v="13"/>
    <x v="4"/>
    <x v="3"/>
    <x v="6"/>
    <s v="Vivek"/>
    <n v="10"/>
    <n v="4030"/>
    <n v="2827.86"/>
    <n v="1202.1400000000001"/>
    <x v="131"/>
    <n v="3.7"/>
    <n v="0"/>
    <x v="1"/>
    <s v="Gold"/>
    <s v="Refunded"/>
    <n v="12.97"/>
    <n v="77.59"/>
    <n v="13403"/>
    <n v="16177"/>
    <n v="12042"/>
    <n v="14760"/>
    <x v="3"/>
  </r>
  <r>
    <n v="1177"/>
    <s v="Starbucks Bengaluru"/>
    <s v="India"/>
    <x v="0"/>
    <s v="Bengaluru"/>
    <s v="South"/>
    <x v="118"/>
    <x v="0"/>
    <x v="0"/>
    <x v="5"/>
    <s v="Neha"/>
    <n v="42"/>
    <n v="13902"/>
    <n v="9309.41"/>
    <n v="4592.59"/>
    <x v="89"/>
    <n v="3.5"/>
    <n v="5"/>
    <x v="2"/>
    <s v="Gold"/>
    <s v="Cancelled"/>
    <n v="12.97"/>
    <n v="77.59"/>
    <n v="9898"/>
    <n v="14372"/>
    <n v="7998"/>
    <n v="8582"/>
    <x v="3"/>
  </r>
  <r>
    <n v="1178"/>
    <s v="Starbucks Kochi"/>
    <s v="India"/>
    <x v="4"/>
    <s v="Kochi"/>
    <s v="South"/>
    <x v="51"/>
    <x v="2"/>
    <x v="1"/>
    <x v="8"/>
    <s v="Neha"/>
    <n v="17"/>
    <n v="5865"/>
    <n v="4203.8599999999997"/>
    <n v="1661.14"/>
    <x v="56"/>
    <n v="4.2"/>
    <n v="10"/>
    <x v="2"/>
    <s v="Premium"/>
    <s v="Refunded"/>
    <n v="9.93"/>
    <n v="76.260000000000005"/>
    <n v="13383"/>
    <n v="17370"/>
    <n v="11558"/>
    <n v="15664"/>
    <x v="2"/>
  </r>
  <r>
    <n v="1179"/>
    <s v="Starbucks Bengaluru"/>
    <s v="India"/>
    <x v="0"/>
    <s v="Bengaluru"/>
    <s v="South"/>
    <x v="75"/>
    <x v="4"/>
    <x v="2"/>
    <x v="4"/>
    <s v="Neha"/>
    <n v="22"/>
    <n v="7194"/>
    <n v="5427.1"/>
    <n v="1766.9"/>
    <x v="132"/>
    <n v="4.5"/>
    <n v="10"/>
    <x v="0"/>
    <s v="Regular"/>
    <s v="Completed"/>
    <n v="12.97"/>
    <n v="77.59"/>
    <n v="5748"/>
    <n v="9045"/>
    <n v="4658"/>
    <n v="7988"/>
    <x v="3"/>
  </r>
  <r>
    <n v="1180"/>
    <s v="Starbucks Chennai"/>
    <s v="India"/>
    <x v="3"/>
    <s v="Chennai"/>
    <s v="South"/>
    <x v="119"/>
    <x v="3"/>
    <x v="0"/>
    <x v="1"/>
    <s v="Rahul"/>
    <n v="26"/>
    <n v="6630"/>
    <n v="4971.96"/>
    <n v="1658.04"/>
    <x v="133"/>
    <n v="4.9000000000000004"/>
    <n v="15"/>
    <x v="1"/>
    <s v="Regular"/>
    <s v="Refunded"/>
    <n v="13.08"/>
    <n v="80.27"/>
    <n v="14946"/>
    <n v="17492"/>
    <n v="13259"/>
    <n v="16011"/>
    <x v="0"/>
  </r>
  <r>
    <n v="1181"/>
    <s v="Starbucks Mumbai"/>
    <s v="India"/>
    <x v="2"/>
    <s v="Mumbai"/>
    <s v="West"/>
    <x v="120"/>
    <x v="5"/>
    <x v="3"/>
    <x v="7"/>
    <s v="Anu"/>
    <n v="60"/>
    <n v="20580"/>
    <n v="14195.93"/>
    <n v="6384.07"/>
    <x v="39"/>
    <n v="3.7"/>
    <n v="5"/>
    <x v="1"/>
    <s v="Premium"/>
    <s v="Refunded"/>
    <n v="19.07"/>
    <n v="72.87"/>
    <n v="14443"/>
    <n v="17113"/>
    <n v="13471"/>
    <n v="16655"/>
    <x v="0"/>
  </r>
  <r>
    <n v="1182"/>
    <s v="Starbucks New Delhi"/>
    <s v="India"/>
    <x v="1"/>
    <s v="New Delhi"/>
    <s v="North"/>
    <x v="121"/>
    <x v="1"/>
    <x v="1"/>
    <x v="8"/>
    <s v="Vivek"/>
    <n v="46"/>
    <n v="17986"/>
    <n v="14160.35"/>
    <n v="3825.65"/>
    <x v="134"/>
    <n v="4.5999999999999996"/>
    <n v="0"/>
    <x v="1"/>
    <s v="Gold"/>
    <s v="Cancelled"/>
    <n v="28.61"/>
    <n v="77.2"/>
    <n v="11474"/>
    <n v="15719"/>
    <n v="10614"/>
    <n v="15691"/>
    <x v="2"/>
  </r>
  <r>
    <n v="1183"/>
    <s v="Starbucks New Delhi"/>
    <s v="India"/>
    <x v="1"/>
    <s v="New Delhi"/>
    <s v="North"/>
    <x v="21"/>
    <x v="4"/>
    <x v="3"/>
    <x v="6"/>
    <s v="Asha"/>
    <n v="22"/>
    <n v="6534"/>
    <n v="3929.3"/>
    <n v="2604.6999999999998"/>
    <x v="135"/>
    <n v="3.8"/>
    <n v="0"/>
    <x v="1"/>
    <s v="Regular"/>
    <s v="Cancelled"/>
    <n v="28.61"/>
    <n v="77.2"/>
    <n v="11855"/>
    <n v="15385"/>
    <n v="11038"/>
    <n v="15104"/>
    <x v="0"/>
  </r>
  <r>
    <n v="1184"/>
    <s v="Starbucks Bengaluru"/>
    <s v="India"/>
    <x v="0"/>
    <s v="Bengaluru"/>
    <s v="South"/>
    <x v="24"/>
    <x v="4"/>
    <x v="0"/>
    <x v="1"/>
    <s v="Rahul"/>
    <n v="40"/>
    <n v="8720"/>
    <n v="5966.76"/>
    <n v="2753.24"/>
    <x v="136"/>
    <n v="4.3"/>
    <n v="0"/>
    <x v="1"/>
    <s v="Premium"/>
    <s v="Refunded"/>
    <n v="12.97"/>
    <n v="77.59"/>
    <n v="6515"/>
    <n v="9743"/>
    <n v="4904"/>
    <n v="7617"/>
    <x v="0"/>
  </r>
  <r>
    <n v="1185"/>
    <s v="Starbucks Kochi"/>
    <s v="India"/>
    <x v="4"/>
    <s v="Kochi"/>
    <s v="South"/>
    <x v="6"/>
    <x v="3"/>
    <x v="1"/>
    <x v="2"/>
    <s v="Rahul"/>
    <n v="32"/>
    <n v="9728"/>
    <n v="6041.57"/>
    <n v="3686.43"/>
    <x v="137"/>
    <n v="4.3"/>
    <n v="15"/>
    <x v="1"/>
    <s v="Gold"/>
    <s v="Cancelled"/>
    <n v="9.93"/>
    <n v="76.260000000000005"/>
    <n v="9126"/>
    <n v="10200"/>
    <n v="8179"/>
    <n v="9791"/>
    <x v="2"/>
  </r>
  <r>
    <n v="1186"/>
    <s v="Starbucks Chennai"/>
    <s v="India"/>
    <x v="3"/>
    <s v="Chennai"/>
    <s v="South"/>
    <x v="122"/>
    <x v="5"/>
    <x v="3"/>
    <x v="6"/>
    <s v="Asha"/>
    <n v="18"/>
    <n v="5112"/>
    <n v="3598.64"/>
    <n v="1513.36"/>
    <x v="0"/>
    <n v="4.2"/>
    <n v="5"/>
    <x v="1"/>
    <s v="Gold"/>
    <s v="Refunded"/>
    <n v="13.08"/>
    <n v="80.27"/>
    <n v="8414"/>
    <n v="11583"/>
    <n v="7199"/>
    <n v="8649"/>
    <x v="2"/>
  </r>
  <r>
    <n v="1187"/>
    <s v="Starbucks Mumbai"/>
    <s v="India"/>
    <x v="2"/>
    <s v="Mumbai"/>
    <s v="West"/>
    <x v="109"/>
    <x v="1"/>
    <x v="1"/>
    <x v="2"/>
    <s v="Asha"/>
    <n v="25"/>
    <n v="8425"/>
    <n v="5895.77"/>
    <n v="2529.23"/>
    <x v="127"/>
    <n v="3.7"/>
    <n v="15"/>
    <x v="0"/>
    <s v="Regular"/>
    <s v="Refunded"/>
    <n v="19.07"/>
    <n v="72.87"/>
    <n v="11587"/>
    <n v="13161"/>
    <n v="10083"/>
    <n v="11476"/>
    <x v="1"/>
  </r>
  <r>
    <n v="1188"/>
    <s v="Starbucks Bengaluru"/>
    <s v="India"/>
    <x v="0"/>
    <s v="Bengaluru"/>
    <s v="South"/>
    <x v="123"/>
    <x v="4"/>
    <x v="2"/>
    <x v="3"/>
    <s v="Rahul"/>
    <n v="53"/>
    <n v="15476"/>
    <n v="10503.48"/>
    <n v="4972.5200000000004"/>
    <x v="48"/>
    <n v="4.2"/>
    <n v="0"/>
    <x v="0"/>
    <s v="Premium"/>
    <s v="Cancelled"/>
    <n v="12.97"/>
    <n v="77.59"/>
    <n v="10126"/>
    <n v="14677"/>
    <n v="8790"/>
    <n v="12629"/>
    <x v="3"/>
  </r>
  <r>
    <n v="1189"/>
    <s v="Starbucks New Delhi"/>
    <s v="India"/>
    <x v="1"/>
    <s v="New Delhi"/>
    <s v="North"/>
    <x v="33"/>
    <x v="5"/>
    <x v="0"/>
    <x v="1"/>
    <s v="Neha"/>
    <n v="52"/>
    <n v="19500"/>
    <n v="13163.39"/>
    <n v="6336.61"/>
    <x v="138"/>
    <n v="3.9"/>
    <n v="15"/>
    <x v="1"/>
    <s v="Premium"/>
    <s v="Refunded"/>
    <n v="28.61"/>
    <n v="77.2"/>
    <n v="14036"/>
    <n v="16868"/>
    <n v="12799"/>
    <n v="12950"/>
    <x v="3"/>
  </r>
  <r>
    <n v="1190"/>
    <s v="Starbucks Chennai"/>
    <s v="India"/>
    <x v="3"/>
    <s v="Chennai"/>
    <s v="South"/>
    <x v="104"/>
    <x v="2"/>
    <x v="3"/>
    <x v="6"/>
    <s v="Vivek"/>
    <n v="50"/>
    <n v="15700"/>
    <n v="11158.26"/>
    <n v="4541.74"/>
    <x v="139"/>
    <n v="5"/>
    <n v="15"/>
    <x v="0"/>
    <s v="Regular"/>
    <s v="Completed"/>
    <n v="13.08"/>
    <n v="80.27"/>
    <n v="12195"/>
    <n v="14388"/>
    <n v="10617"/>
    <n v="14043"/>
    <x v="0"/>
  </r>
  <r>
    <n v="1191"/>
    <s v="Starbucks Bengaluru"/>
    <s v="India"/>
    <x v="0"/>
    <s v="Bengaluru"/>
    <s v="South"/>
    <x v="124"/>
    <x v="3"/>
    <x v="1"/>
    <x v="2"/>
    <s v="Anu"/>
    <n v="38"/>
    <n v="12046"/>
    <n v="9087.48"/>
    <n v="2958.52"/>
    <x v="55"/>
    <n v="5"/>
    <n v="5"/>
    <x v="1"/>
    <s v="Premium"/>
    <s v="Refunded"/>
    <n v="12.97"/>
    <n v="77.59"/>
    <n v="14531"/>
    <n v="17761"/>
    <n v="13075"/>
    <n v="15597"/>
    <x v="2"/>
  </r>
  <r>
    <n v="1192"/>
    <s v="Starbucks Chennai"/>
    <s v="India"/>
    <x v="3"/>
    <s v="Chennai"/>
    <s v="South"/>
    <x v="80"/>
    <x v="0"/>
    <x v="0"/>
    <x v="0"/>
    <s v="Neha"/>
    <n v="60"/>
    <n v="19980"/>
    <n v="13954.87"/>
    <n v="6025.13"/>
    <x v="140"/>
    <n v="4.5"/>
    <n v="10"/>
    <x v="2"/>
    <s v="Regular"/>
    <s v="Refunded"/>
    <n v="13.08"/>
    <n v="80.27"/>
    <n v="11612"/>
    <n v="16094"/>
    <n v="9851"/>
    <n v="11212"/>
    <x v="3"/>
  </r>
  <r>
    <n v="1193"/>
    <s v="Starbucks Mumbai"/>
    <s v="India"/>
    <x v="2"/>
    <s v="Mumbai"/>
    <s v="West"/>
    <x v="85"/>
    <x v="3"/>
    <x v="3"/>
    <x v="6"/>
    <s v="Vivek"/>
    <n v="14"/>
    <n v="2660"/>
    <n v="1481.12"/>
    <n v="1178.8800000000001"/>
    <x v="141"/>
    <n v="4.5999999999999996"/>
    <n v="15"/>
    <x v="1"/>
    <s v="Premium"/>
    <s v="Completed"/>
    <n v="19.07"/>
    <n v="72.87"/>
    <n v="6909"/>
    <n v="11876"/>
    <n v="6226"/>
    <n v="8409"/>
    <x v="3"/>
  </r>
  <r>
    <n v="1194"/>
    <s v="Starbucks Bengaluru"/>
    <s v="India"/>
    <x v="0"/>
    <s v="Bengaluru"/>
    <s v="South"/>
    <x v="113"/>
    <x v="0"/>
    <x v="2"/>
    <x v="3"/>
    <s v="Neha"/>
    <n v="32"/>
    <n v="10304"/>
    <n v="7924.48"/>
    <n v="2379.52"/>
    <x v="65"/>
    <n v="4.0999999999999996"/>
    <n v="10"/>
    <x v="1"/>
    <s v="Premium"/>
    <s v="Refunded"/>
    <n v="12.97"/>
    <n v="77.59"/>
    <n v="11894"/>
    <n v="14734"/>
    <n v="10961"/>
    <n v="13516"/>
    <x v="2"/>
  </r>
  <r>
    <n v="1195"/>
    <s v="Starbucks Kochi"/>
    <s v="India"/>
    <x v="4"/>
    <s v="Kochi"/>
    <s v="South"/>
    <x v="65"/>
    <x v="3"/>
    <x v="1"/>
    <x v="2"/>
    <s v="Rahul"/>
    <n v="35"/>
    <n v="13685"/>
    <n v="8634.61"/>
    <n v="5050.3900000000003"/>
    <x v="69"/>
    <n v="4.5999999999999996"/>
    <n v="15"/>
    <x v="0"/>
    <s v="Premium"/>
    <s v="Refunded"/>
    <n v="9.93"/>
    <n v="76.260000000000005"/>
    <n v="5244"/>
    <n v="10213"/>
    <n v="4453"/>
    <n v="5889"/>
    <x v="0"/>
  </r>
  <r>
    <n v="1196"/>
    <s v="Starbucks New Delhi"/>
    <s v="India"/>
    <x v="1"/>
    <s v="New Delhi"/>
    <s v="North"/>
    <x v="120"/>
    <x v="5"/>
    <x v="3"/>
    <x v="6"/>
    <s v="Anu"/>
    <n v="47"/>
    <n v="14100"/>
    <n v="9473.42"/>
    <n v="4626.58"/>
    <x v="142"/>
    <n v="4.7"/>
    <n v="15"/>
    <x v="2"/>
    <s v="Regular"/>
    <s v="Refunded"/>
    <n v="28.61"/>
    <n v="77.2"/>
    <n v="13923"/>
    <n v="17602"/>
    <n v="13240"/>
    <n v="17274"/>
    <x v="3"/>
  </r>
  <r>
    <n v="1197"/>
    <s v="Starbucks Chennai"/>
    <s v="India"/>
    <x v="3"/>
    <s v="Chennai"/>
    <s v="South"/>
    <x v="8"/>
    <x v="5"/>
    <x v="0"/>
    <x v="1"/>
    <s v="Anu"/>
    <n v="10"/>
    <n v="2500"/>
    <n v="1630.17"/>
    <n v="869.83"/>
    <x v="143"/>
    <n v="4.8"/>
    <n v="0"/>
    <x v="0"/>
    <s v="Gold"/>
    <s v="Refunded"/>
    <n v="13.08"/>
    <n v="80.27"/>
    <n v="14217"/>
    <n v="15843"/>
    <n v="12875"/>
    <n v="15007"/>
    <x v="0"/>
  </r>
  <r>
    <n v="1198"/>
    <s v="Starbucks Bengaluru"/>
    <s v="India"/>
    <x v="0"/>
    <s v="Bengaluru"/>
    <s v="South"/>
    <x v="125"/>
    <x v="1"/>
    <x v="1"/>
    <x v="2"/>
    <s v="Anu"/>
    <n v="45"/>
    <n v="9990"/>
    <n v="6483.19"/>
    <n v="3506.81"/>
    <x v="144"/>
    <n v="4.2"/>
    <n v="5"/>
    <x v="1"/>
    <s v="Premium"/>
    <s v="Completed"/>
    <n v="12.97"/>
    <n v="77.59"/>
    <n v="7118"/>
    <n v="8858"/>
    <n v="5681"/>
    <n v="8062"/>
    <x v="1"/>
  </r>
  <r>
    <n v="1199"/>
    <s v="Starbucks Mumbai"/>
    <s v="India"/>
    <x v="2"/>
    <s v="Mumbai"/>
    <s v="West"/>
    <x v="24"/>
    <x v="4"/>
    <x v="3"/>
    <x v="7"/>
    <s v="Anu"/>
    <n v="47"/>
    <n v="12455"/>
    <n v="7229.29"/>
    <n v="5225.71"/>
    <x v="145"/>
    <n v="3.5"/>
    <n v="0"/>
    <x v="0"/>
    <s v="Gold"/>
    <s v="Refunded"/>
    <n v="19.07"/>
    <n v="72.87"/>
    <n v="12558"/>
    <n v="16781"/>
    <n v="10946"/>
    <n v="13143"/>
    <x v="2"/>
  </r>
  <r>
    <n v="1200"/>
    <s v="Starbucks New Delhi"/>
    <s v="India"/>
    <x v="1"/>
    <s v="New Delhi"/>
    <s v="North"/>
    <x v="0"/>
    <x v="0"/>
    <x v="0"/>
    <x v="1"/>
    <s v="Asha"/>
    <n v="56"/>
    <n v="21560"/>
    <n v="13161.9"/>
    <n v="8398.1"/>
    <x v="146"/>
    <n v="4.5999999999999996"/>
    <n v="15"/>
    <x v="2"/>
    <s v="Premium"/>
    <s v="Completed"/>
    <n v="28.61"/>
    <n v="77.2"/>
    <n v="13742"/>
    <n v="18558"/>
    <n v="11975"/>
    <n v="12412"/>
    <x v="2"/>
  </r>
  <r>
    <n v="1201"/>
    <s v="Starbucks Chennai"/>
    <s v="India"/>
    <x v="3"/>
    <s v="Chennai"/>
    <s v="South"/>
    <x v="14"/>
    <x v="5"/>
    <x v="0"/>
    <x v="5"/>
    <s v="Neha"/>
    <n v="46"/>
    <n v="12282"/>
    <n v="7054.75"/>
    <n v="5227.25"/>
    <x v="147"/>
    <n v="4"/>
    <n v="0"/>
    <x v="2"/>
    <s v="Gold"/>
    <s v="Cancelled"/>
    <n v="13.08"/>
    <n v="80.27"/>
    <n v="14273"/>
    <n v="16388"/>
    <n v="12903"/>
    <n v="14821"/>
    <x v="2"/>
  </r>
  <r>
    <n v="1202"/>
    <s v="Starbucks Mumbai"/>
    <s v="India"/>
    <x v="2"/>
    <s v="Mumbai"/>
    <s v="West"/>
    <x v="107"/>
    <x v="1"/>
    <x v="0"/>
    <x v="1"/>
    <s v="Rahul"/>
    <n v="26"/>
    <n v="5590"/>
    <n v="4009.31"/>
    <n v="1580.69"/>
    <x v="114"/>
    <n v="4.0999999999999996"/>
    <n v="15"/>
    <x v="2"/>
    <s v="Regular"/>
    <s v="Refunded"/>
    <n v="19.07"/>
    <n v="72.87"/>
    <n v="6787"/>
    <n v="11155"/>
    <n v="6213"/>
    <n v="7258"/>
    <x v="1"/>
  </r>
  <r>
    <n v="1203"/>
    <s v="Starbucks Mumbai"/>
    <s v="India"/>
    <x v="2"/>
    <s v="Mumbai"/>
    <s v="West"/>
    <x v="21"/>
    <x v="4"/>
    <x v="1"/>
    <x v="2"/>
    <s v="Rahul"/>
    <n v="11"/>
    <n v="4213"/>
    <n v="2583.87"/>
    <n v="1629.13"/>
    <x v="82"/>
    <n v="4.5999999999999996"/>
    <n v="10"/>
    <x v="0"/>
    <s v="Gold"/>
    <s v="Cancelled"/>
    <n v="19.07"/>
    <n v="72.87"/>
    <n v="12331"/>
    <n v="17202"/>
    <n v="10571"/>
    <n v="10833"/>
    <x v="3"/>
  </r>
  <r>
    <n v="1204"/>
    <s v="Starbucks Mumbai"/>
    <s v="India"/>
    <x v="2"/>
    <s v="Mumbai"/>
    <s v="West"/>
    <x v="126"/>
    <x v="4"/>
    <x v="3"/>
    <x v="6"/>
    <s v="Asha"/>
    <n v="35"/>
    <n v="11375"/>
    <n v="7905.19"/>
    <n v="3469.81"/>
    <x v="98"/>
    <n v="3.8"/>
    <n v="10"/>
    <x v="1"/>
    <s v="Gold"/>
    <s v="Refunded"/>
    <n v="19.07"/>
    <n v="72.87"/>
    <n v="6715"/>
    <n v="9908"/>
    <n v="5778"/>
    <n v="9776"/>
    <x v="3"/>
  </r>
  <r>
    <n v="1205"/>
    <s v="Starbucks New Delhi"/>
    <s v="India"/>
    <x v="1"/>
    <s v="New Delhi"/>
    <s v="North"/>
    <x v="64"/>
    <x v="0"/>
    <x v="3"/>
    <x v="6"/>
    <s v="Anu"/>
    <n v="21"/>
    <n v="8694"/>
    <n v="6410.25"/>
    <n v="2283.75"/>
    <x v="148"/>
    <n v="4.3"/>
    <n v="10"/>
    <x v="0"/>
    <s v="Regular"/>
    <s v="Cancelled"/>
    <n v="28.61"/>
    <n v="77.2"/>
    <n v="8166"/>
    <n v="13165"/>
    <n v="6374"/>
    <n v="6720"/>
    <x v="3"/>
  </r>
  <r>
    <n v="1206"/>
    <s v="Starbucks Mumbai"/>
    <s v="India"/>
    <x v="2"/>
    <s v="Mumbai"/>
    <s v="West"/>
    <x v="43"/>
    <x v="2"/>
    <x v="0"/>
    <x v="0"/>
    <s v="Vivek"/>
    <n v="28"/>
    <n v="7112"/>
    <n v="5555.48"/>
    <n v="1556.52"/>
    <x v="111"/>
    <n v="3.9"/>
    <n v="5"/>
    <x v="0"/>
    <s v="Regular"/>
    <s v="Completed"/>
    <n v="19.07"/>
    <n v="72.87"/>
    <n v="7623"/>
    <n v="10698"/>
    <n v="6518"/>
    <n v="10150"/>
    <x v="1"/>
  </r>
  <r>
    <n v="1207"/>
    <s v="Starbucks Chennai"/>
    <s v="India"/>
    <x v="3"/>
    <s v="Chennai"/>
    <s v="South"/>
    <x v="58"/>
    <x v="5"/>
    <x v="3"/>
    <x v="7"/>
    <s v="Asha"/>
    <n v="29"/>
    <n v="7743"/>
    <n v="4424.0200000000004"/>
    <n v="3318.98"/>
    <x v="149"/>
    <n v="4.4000000000000004"/>
    <n v="15"/>
    <x v="0"/>
    <s v="Regular"/>
    <s v="Refunded"/>
    <n v="13.08"/>
    <n v="80.27"/>
    <n v="13870"/>
    <n v="17120"/>
    <n v="12135"/>
    <n v="14084"/>
    <x v="0"/>
  </r>
  <r>
    <n v="1208"/>
    <s v="Starbucks Mumbai"/>
    <s v="India"/>
    <x v="2"/>
    <s v="Mumbai"/>
    <s v="West"/>
    <x v="127"/>
    <x v="5"/>
    <x v="1"/>
    <x v="2"/>
    <s v="Neha"/>
    <n v="44"/>
    <n v="9284"/>
    <n v="7235.96"/>
    <n v="2048.04"/>
    <x v="150"/>
    <n v="3.9"/>
    <n v="15"/>
    <x v="1"/>
    <s v="Regular"/>
    <s v="Refunded"/>
    <n v="19.07"/>
    <n v="72.87"/>
    <n v="5082"/>
    <n v="8813"/>
    <n v="3786"/>
    <n v="6408"/>
    <x v="0"/>
  </r>
  <r>
    <n v="1209"/>
    <s v="Starbucks Mumbai"/>
    <s v="India"/>
    <x v="2"/>
    <s v="Mumbai"/>
    <s v="West"/>
    <x v="62"/>
    <x v="3"/>
    <x v="1"/>
    <x v="2"/>
    <s v="Neha"/>
    <n v="36"/>
    <n v="7380"/>
    <n v="5329.23"/>
    <n v="2050.77"/>
    <x v="59"/>
    <n v="4.7"/>
    <n v="10"/>
    <x v="2"/>
    <s v="Premium"/>
    <s v="Cancelled"/>
    <n v="19.07"/>
    <n v="72.87"/>
    <n v="12330"/>
    <n v="17204"/>
    <n v="11564"/>
    <n v="14686"/>
    <x v="2"/>
  </r>
  <r>
    <n v="1210"/>
    <s v="Starbucks Mumbai"/>
    <s v="India"/>
    <x v="2"/>
    <s v="Mumbai"/>
    <s v="West"/>
    <x v="18"/>
    <x v="1"/>
    <x v="1"/>
    <x v="2"/>
    <s v="Vivek"/>
    <n v="27"/>
    <n v="11340"/>
    <n v="6957.87"/>
    <n v="4382.13"/>
    <x v="38"/>
    <n v="3.6"/>
    <n v="10"/>
    <x v="0"/>
    <s v="Gold"/>
    <s v="Completed"/>
    <n v="19.07"/>
    <n v="72.87"/>
    <n v="9864"/>
    <n v="12028"/>
    <n v="9050"/>
    <n v="10226"/>
    <x v="3"/>
  </r>
  <r>
    <n v="1211"/>
    <s v="Starbucks Chennai"/>
    <s v="India"/>
    <x v="3"/>
    <s v="Chennai"/>
    <s v="South"/>
    <x v="102"/>
    <x v="4"/>
    <x v="1"/>
    <x v="8"/>
    <s v="Rahul"/>
    <n v="40"/>
    <n v="13440"/>
    <n v="9618.15"/>
    <n v="3821.85"/>
    <x v="93"/>
    <n v="4.3"/>
    <n v="0"/>
    <x v="1"/>
    <s v="Regular"/>
    <s v="Cancelled"/>
    <n v="13.08"/>
    <n v="80.27"/>
    <n v="11005"/>
    <n v="15643"/>
    <n v="9060"/>
    <n v="9492"/>
    <x v="1"/>
  </r>
  <r>
    <n v="1212"/>
    <s v="Starbucks Chennai"/>
    <s v="India"/>
    <x v="3"/>
    <s v="Chennai"/>
    <s v="South"/>
    <x v="4"/>
    <x v="0"/>
    <x v="2"/>
    <x v="4"/>
    <s v="Asha"/>
    <n v="45"/>
    <n v="12870"/>
    <n v="8171.46"/>
    <n v="4698.54"/>
    <x v="151"/>
    <n v="3.8"/>
    <n v="5"/>
    <x v="1"/>
    <s v="Regular"/>
    <s v="Completed"/>
    <n v="13.08"/>
    <n v="80.27"/>
    <n v="8264"/>
    <n v="11901"/>
    <n v="6724"/>
    <n v="10346"/>
    <x v="1"/>
  </r>
  <r>
    <n v="1213"/>
    <s v="Starbucks Kochi"/>
    <s v="India"/>
    <x v="4"/>
    <s v="Kochi"/>
    <s v="South"/>
    <x v="20"/>
    <x v="0"/>
    <x v="2"/>
    <x v="3"/>
    <s v="Vivek"/>
    <n v="51"/>
    <n v="10047"/>
    <n v="5730.56"/>
    <n v="4316.4399999999996"/>
    <x v="93"/>
    <n v="4"/>
    <n v="10"/>
    <x v="0"/>
    <s v="Gold"/>
    <s v="Cancelled"/>
    <n v="9.93"/>
    <n v="76.260000000000005"/>
    <n v="10758"/>
    <n v="14454"/>
    <n v="9911"/>
    <n v="11007"/>
    <x v="0"/>
  </r>
  <r>
    <n v="1214"/>
    <s v="Starbucks Bengaluru"/>
    <s v="India"/>
    <x v="0"/>
    <s v="Bengaluru"/>
    <s v="South"/>
    <x v="0"/>
    <x v="0"/>
    <x v="1"/>
    <x v="2"/>
    <s v="Rahul"/>
    <n v="17"/>
    <n v="6919"/>
    <n v="5169.6000000000004"/>
    <n v="1749.4"/>
    <x v="152"/>
    <n v="4.0999999999999996"/>
    <n v="0"/>
    <x v="1"/>
    <s v="Premium"/>
    <s v="Cancelled"/>
    <n v="12.97"/>
    <n v="77.59"/>
    <n v="10157"/>
    <n v="13330"/>
    <n v="8804"/>
    <n v="9428"/>
    <x v="2"/>
  </r>
  <r>
    <n v="1215"/>
    <s v="Starbucks Kochi"/>
    <s v="India"/>
    <x v="4"/>
    <s v="Kochi"/>
    <s v="South"/>
    <x v="14"/>
    <x v="5"/>
    <x v="3"/>
    <x v="7"/>
    <s v="Rahul"/>
    <n v="5"/>
    <n v="2055"/>
    <n v="1579.45"/>
    <n v="475.55"/>
    <x v="94"/>
    <n v="4.8"/>
    <n v="10"/>
    <x v="0"/>
    <s v="Gold"/>
    <s v="Refunded"/>
    <n v="9.93"/>
    <n v="76.260000000000005"/>
    <n v="10687"/>
    <n v="11890"/>
    <n v="9469"/>
    <n v="11831"/>
    <x v="3"/>
  </r>
  <r>
    <n v="1216"/>
    <s v="Starbucks Chennai"/>
    <s v="India"/>
    <x v="3"/>
    <s v="Chennai"/>
    <s v="South"/>
    <x v="128"/>
    <x v="1"/>
    <x v="1"/>
    <x v="8"/>
    <s v="Neha"/>
    <n v="27"/>
    <n v="6615"/>
    <n v="3731.59"/>
    <n v="2883.41"/>
    <x v="89"/>
    <n v="3.8"/>
    <n v="10"/>
    <x v="1"/>
    <s v="Premium"/>
    <s v="Cancelled"/>
    <n v="13.08"/>
    <n v="80.27"/>
    <n v="7112"/>
    <n v="8857"/>
    <n v="5859"/>
    <n v="8363"/>
    <x v="1"/>
  </r>
  <r>
    <n v="1217"/>
    <s v="Starbucks Mumbai"/>
    <s v="India"/>
    <x v="2"/>
    <s v="Mumbai"/>
    <s v="West"/>
    <x v="129"/>
    <x v="1"/>
    <x v="2"/>
    <x v="4"/>
    <s v="Vivek"/>
    <n v="26"/>
    <n v="7436"/>
    <n v="4291.72"/>
    <n v="3144.28"/>
    <x v="42"/>
    <n v="3.8"/>
    <n v="15"/>
    <x v="1"/>
    <s v="Regular"/>
    <s v="Cancelled"/>
    <n v="19.07"/>
    <n v="72.87"/>
    <n v="11489"/>
    <n v="12879"/>
    <n v="9695"/>
    <n v="12509"/>
    <x v="0"/>
  </r>
  <r>
    <n v="1218"/>
    <s v="Starbucks Bengaluru"/>
    <s v="India"/>
    <x v="0"/>
    <s v="Bengaluru"/>
    <s v="South"/>
    <x v="130"/>
    <x v="4"/>
    <x v="0"/>
    <x v="5"/>
    <s v="Neha"/>
    <n v="55"/>
    <n v="14465"/>
    <n v="8111.28"/>
    <n v="6353.72"/>
    <x v="22"/>
    <n v="4.5"/>
    <n v="15"/>
    <x v="1"/>
    <s v="Regular"/>
    <s v="Refunded"/>
    <n v="12.97"/>
    <n v="77.59"/>
    <n v="12468"/>
    <n v="14466"/>
    <n v="11327"/>
    <n v="13023"/>
    <x v="3"/>
  </r>
  <r>
    <n v="1219"/>
    <s v="Starbucks Chennai"/>
    <s v="India"/>
    <x v="3"/>
    <s v="Chennai"/>
    <s v="South"/>
    <x v="81"/>
    <x v="5"/>
    <x v="1"/>
    <x v="2"/>
    <s v="Rahul"/>
    <n v="29"/>
    <n v="7598"/>
    <n v="5232.3599999999997"/>
    <n v="2365.64"/>
    <x v="70"/>
    <n v="3.9"/>
    <n v="0"/>
    <x v="0"/>
    <s v="Gold"/>
    <s v="Refunded"/>
    <n v="13.08"/>
    <n v="80.27"/>
    <n v="6170"/>
    <n v="7330"/>
    <n v="5033"/>
    <n v="5145"/>
    <x v="3"/>
  </r>
  <r>
    <n v="1220"/>
    <s v="Starbucks Kochi"/>
    <s v="India"/>
    <x v="4"/>
    <s v="Kochi"/>
    <s v="South"/>
    <x v="126"/>
    <x v="4"/>
    <x v="2"/>
    <x v="3"/>
    <s v="Neha"/>
    <n v="52"/>
    <n v="14040"/>
    <n v="8593.93"/>
    <n v="5446.07"/>
    <x v="153"/>
    <n v="4.0999999999999996"/>
    <n v="10"/>
    <x v="2"/>
    <s v="Gold"/>
    <s v="Cancelled"/>
    <n v="9.93"/>
    <n v="76.260000000000005"/>
    <n v="5521"/>
    <n v="7030"/>
    <n v="3536"/>
    <n v="4939"/>
    <x v="1"/>
  </r>
  <r>
    <n v="1221"/>
    <s v="Starbucks Chennai"/>
    <s v="India"/>
    <x v="3"/>
    <s v="Chennai"/>
    <s v="South"/>
    <x v="131"/>
    <x v="2"/>
    <x v="0"/>
    <x v="5"/>
    <s v="Rahul"/>
    <n v="18"/>
    <n v="7074"/>
    <n v="4138.87"/>
    <n v="2935.13"/>
    <x v="154"/>
    <n v="4.3"/>
    <n v="10"/>
    <x v="0"/>
    <s v="Gold"/>
    <s v="Completed"/>
    <n v="13.08"/>
    <n v="80.27"/>
    <n v="13794"/>
    <n v="18762"/>
    <n v="12972"/>
    <n v="17356"/>
    <x v="0"/>
  </r>
  <r>
    <n v="1222"/>
    <s v="Starbucks New Delhi"/>
    <s v="India"/>
    <x v="1"/>
    <s v="New Delhi"/>
    <s v="North"/>
    <x v="105"/>
    <x v="4"/>
    <x v="0"/>
    <x v="1"/>
    <s v="Neha"/>
    <n v="31"/>
    <n v="12462"/>
    <n v="9100.2900000000009"/>
    <n v="3361.71"/>
    <x v="114"/>
    <n v="3.7"/>
    <n v="10"/>
    <x v="2"/>
    <s v="Premium"/>
    <s v="Cancelled"/>
    <n v="28.61"/>
    <n v="77.2"/>
    <n v="11727"/>
    <n v="16550"/>
    <n v="10502"/>
    <n v="13827"/>
    <x v="2"/>
  </r>
  <r>
    <n v="1223"/>
    <s v="Starbucks Mumbai"/>
    <s v="India"/>
    <x v="2"/>
    <s v="Mumbai"/>
    <s v="West"/>
    <x v="91"/>
    <x v="3"/>
    <x v="1"/>
    <x v="2"/>
    <s v="Vivek"/>
    <n v="10"/>
    <n v="2780"/>
    <n v="1611.73"/>
    <n v="1168.27"/>
    <x v="107"/>
    <n v="4.5"/>
    <n v="5"/>
    <x v="0"/>
    <s v="Premium"/>
    <s v="Completed"/>
    <n v="19.07"/>
    <n v="72.87"/>
    <n v="10316"/>
    <n v="14850"/>
    <n v="8841"/>
    <n v="14030"/>
    <x v="0"/>
  </r>
  <r>
    <n v="1224"/>
    <s v="Starbucks New Delhi"/>
    <s v="India"/>
    <x v="1"/>
    <s v="New Delhi"/>
    <s v="North"/>
    <x v="132"/>
    <x v="0"/>
    <x v="3"/>
    <x v="6"/>
    <s v="Vivek"/>
    <n v="11"/>
    <n v="4136"/>
    <n v="2880.94"/>
    <n v="1255.06"/>
    <x v="155"/>
    <n v="4.5999999999999996"/>
    <n v="15"/>
    <x v="2"/>
    <s v="Premium"/>
    <s v="Completed"/>
    <n v="28.61"/>
    <n v="77.2"/>
    <n v="5205"/>
    <n v="7518"/>
    <n v="3568"/>
    <n v="3629"/>
    <x v="0"/>
  </r>
  <r>
    <n v="1225"/>
    <s v="Starbucks Bengaluru"/>
    <s v="India"/>
    <x v="0"/>
    <s v="Bengaluru"/>
    <s v="South"/>
    <x v="115"/>
    <x v="5"/>
    <x v="1"/>
    <x v="8"/>
    <s v="Rahul"/>
    <n v="19"/>
    <n v="3591"/>
    <n v="2358.11"/>
    <n v="1232.8900000000001"/>
    <x v="156"/>
    <n v="4.0999999999999996"/>
    <n v="5"/>
    <x v="2"/>
    <s v="Gold"/>
    <s v="Completed"/>
    <n v="12.97"/>
    <n v="77.59"/>
    <n v="10743"/>
    <n v="15174"/>
    <n v="8923"/>
    <n v="11529"/>
    <x v="2"/>
  </r>
  <r>
    <n v="1226"/>
    <s v="Starbucks Kochi"/>
    <s v="India"/>
    <x v="4"/>
    <s v="Kochi"/>
    <s v="South"/>
    <x v="89"/>
    <x v="2"/>
    <x v="0"/>
    <x v="0"/>
    <s v="Rahul"/>
    <n v="11"/>
    <n v="4598"/>
    <n v="3646.06"/>
    <n v="951.94"/>
    <x v="157"/>
    <n v="4.8"/>
    <n v="10"/>
    <x v="1"/>
    <s v="Gold"/>
    <s v="Completed"/>
    <n v="9.93"/>
    <n v="76.260000000000005"/>
    <n v="14204"/>
    <n v="18517"/>
    <n v="13484"/>
    <n v="16672"/>
    <x v="2"/>
  </r>
  <r>
    <n v="1227"/>
    <s v="Starbucks Bengaluru"/>
    <s v="India"/>
    <x v="0"/>
    <s v="Bengaluru"/>
    <s v="South"/>
    <x v="40"/>
    <x v="3"/>
    <x v="3"/>
    <x v="6"/>
    <s v="Neha"/>
    <n v="21"/>
    <n v="3990"/>
    <n v="2636.46"/>
    <n v="1353.54"/>
    <x v="70"/>
    <n v="4"/>
    <n v="0"/>
    <x v="1"/>
    <s v="Regular"/>
    <s v="Completed"/>
    <n v="12.97"/>
    <n v="77.59"/>
    <n v="13674"/>
    <n v="17675"/>
    <n v="11922"/>
    <n v="15930"/>
    <x v="3"/>
  </r>
  <r>
    <n v="1228"/>
    <s v="Starbucks Chennai"/>
    <s v="India"/>
    <x v="3"/>
    <s v="Chennai"/>
    <s v="South"/>
    <x v="53"/>
    <x v="4"/>
    <x v="3"/>
    <x v="7"/>
    <s v="Anu"/>
    <n v="45"/>
    <n v="17550"/>
    <n v="11621.28"/>
    <n v="5928.72"/>
    <x v="69"/>
    <n v="5"/>
    <n v="5"/>
    <x v="1"/>
    <s v="Regular"/>
    <s v="Completed"/>
    <n v="13.08"/>
    <n v="80.27"/>
    <n v="12947"/>
    <n v="16036"/>
    <n v="11755"/>
    <n v="12552"/>
    <x v="2"/>
  </r>
  <r>
    <n v="1229"/>
    <s v="Starbucks Mumbai"/>
    <s v="India"/>
    <x v="2"/>
    <s v="Mumbai"/>
    <s v="West"/>
    <x v="93"/>
    <x v="4"/>
    <x v="3"/>
    <x v="6"/>
    <s v="Anu"/>
    <n v="26"/>
    <n v="6630"/>
    <n v="3798.3"/>
    <n v="2831.7"/>
    <x v="2"/>
    <n v="4.0999999999999996"/>
    <n v="15"/>
    <x v="2"/>
    <s v="Gold"/>
    <s v="Completed"/>
    <n v="19.07"/>
    <n v="72.87"/>
    <n v="13167"/>
    <n v="14683"/>
    <n v="12583"/>
    <n v="12921"/>
    <x v="1"/>
  </r>
  <r>
    <n v="1230"/>
    <s v="Starbucks Chennai"/>
    <s v="India"/>
    <x v="3"/>
    <s v="Chennai"/>
    <s v="South"/>
    <x v="133"/>
    <x v="1"/>
    <x v="1"/>
    <x v="2"/>
    <s v="Anu"/>
    <n v="40"/>
    <n v="7680"/>
    <n v="5109.72"/>
    <n v="2570.2800000000002"/>
    <x v="152"/>
    <n v="3.8"/>
    <n v="10"/>
    <x v="1"/>
    <s v="Premium"/>
    <s v="Completed"/>
    <n v="13.08"/>
    <n v="80.27"/>
    <n v="14198"/>
    <n v="15276"/>
    <n v="12917"/>
    <n v="14725"/>
    <x v="2"/>
  </r>
  <r>
    <n v="1231"/>
    <s v="Starbucks Bengaluru"/>
    <s v="India"/>
    <x v="0"/>
    <s v="Bengaluru"/>
    <s v="South"/>
    <x v="68"/>
    <x v="0"/>
    <x v="1"/>
    <x v="8"/>
    <s v="Asha"/>
    <n v="60"/>
    <n v="23760"/>
    <n v="15338.31"/>
    <n v="8421.69"/>
    <x v="158"/>
    <n v="4.5"/>
    <n v="15"/>
    <x v="2"/>
    <s v="Gold"/>
    <s v="Cancelled"/>
    <n v="12.97"/>
    <n v="77.59"/>
    <n v="5299"/>
    <n v="6693"/>
    <n v="4048"/>
    <n v="4101"/>
    <x v="1"/>
  </r>
  <r>
    <n v="1232"/>
    <s v="Starbucks Mumbai"/>
    <s v="India"/>
    <x v="2"/>
    <s v="Mumbai"/>
    <s v="West"/>
    <x v="20"/>
    <x v="0"/>
    <x v="0"/>
    <x v="0"/>
    <s v="Vivek"/>
    <n v="31"/>
    <n v="9548"/>
    <n v="5687.4"/>
    <n v="3860.6"/>
    <x v="68"/>
    <n v="3.6"/>
    <n v="0"/>
    <x v="1"/>
    <s v="Gold"/>
    <s v="Cancelled"/>
    <n v="19.07"/>
    <n v="72.87"/>
    <n v="9822"/>
    <n v="13960"/>
    <n v="8546"/>
    <n v="8921"/>
    <x v="2"/>
  </r>
  <r>
    <n v="1233"/>
    <s v="Starbucks Kochi"/>
    <s v="India"/>
    <x v="4"/>
    <s v="Kochi"/>
    <s v="South"/>
    <x v="123"/>
    <x v="4"/>
    <x v="1"/>
    <x v="2"/>
    <s v="Vivek"/>
    <n v="21"/>
    <n v="7056"/>
    <n v="5110.8100000000004"/>
    <n v="1945.19"/>
    <x v="153"/>
    <n v="4"/>
    <n v="5"/>
    <x v="2"/>
    <s v="Premium"/>
    <s v="Refunded"/>
    <n v="9.93"/>
    <n v="76.260000000000005"/>
    <n v="14409"/>
    <n v="15841"/>
    <n v="12950"/>
    <n v="14566"/>
    <x v="2"/>
  </r>
  <r>
    <n v="1234"/>
    <s v="Starbucks Bengaluru"/>
    <s v="India"/>
    <x v="0"/>
    <s v="Bengaluru"/>
    <s v="South"/>
    <x v="34"/>
    <x v="0"/>
    <x v="1"/>
    <x v="8"/>
    <s v="Neha"/>
    <n v="57"/>
    <n v="20577"/>
    <n v="15200.8"/>
    <n v="5376.2"/>
    <x v="159"/>
    <n v="3.8"/>
    <n v="10"/>
    <x v="2"/>
    <s v="Premium"/>
    <s v="Refunded"/>
    <n v="12.97"/>
    <n v="77.59"/>
    <n v="10700"/>
    <n v="13442"/>
    <n v="9553"/>
    <n v="12533"/>
    <x v="3"/>
  </r>
  <r>
    <n v="1235"/>
    <s v="Starbucks Bengaluru"/>
    <s v="India"/>
    <x v="0"/>
    <s v="Bengaluru"/>
    <s v="South"/>
    <x v="45"/>
    <x v="3"/>
    <x v="1"/>
    <x v="2"/>
    <s v="Asha"/>
    <n v="52"/>
    <n v="14612"/>
    <n v="10732.79"/>
    <n v="3879.21"/>
    <x v="113"/>
    <n v="4.2"/>
    <n v="5"/>
    <x v="1"/>
    <s v="Gold"/>
    <s v="Cancelled"/>
    <n v="12.97"/>
    <n v="77.59"/>
    <n v="9043"/>
    <n v="13096"/>
    <n v="7267"/>
    <n v="11519"/>
    <x v="1"/>
  </r>
  <r>
    <n v="1236"/>
    <s v="Starbucks Mumbai"/>
    <s v="India"/>
    <x v="2"/>
    <s v="Mumbai"/>
    <s v="West"/>
    <x v="101"/>
    <x v="3"/>
    <x v="2"/>
    <x v="4"/>
    <s v="Anu"/>
    <n v="38"/>
    <n v="8626"/>
    <n v="5846.58"/>
    <n v="2779.42"/>
    <x v="57"/>
    <n v="4.5"/>
    <n v="15"/>
    <x v="0"/>
    <s v="Regular"/>
    <s v="Completed"/>
    <n v="19.07"/>
    <n v="72.87"/>
    <n v="14762"/>
    <n v="16025"/>
    <n v="13430"/>
    <n v="15368"/>
    <x v="0"/>
  </r>
  <r>
    <n v="1237"/>
    <s v="Starbucks New Delhi"/>
    <s v="India"/>
    <x v="1"/>
    <s v="New Delhi"/>
    <s v="North"/>
    <x v="10"/>
    <x v="4"/>
    <x v="1"/>
    <x v="8"/>
    <s v="Anu"/>
    <n v="12"/>
    <n v="3084"/>
    <n v="2273.79"/>
    <n v="810.21"/>
    <x v="63"/>
    <n v="3.5"/>
    <n v="0"/>
    <x v="1"/>
    <s v="Regular"/>
    <s v="Refunded"/>
    <n v="28.61"/>
    <n v="77.2"/>
    <n v="12649"/>
    <n v="17148"/>
    <n v="10942"/>
    <n v="16754"/>
    <x v="0"/>
  </r>
  <r>
    <n v="1238"/>
    <s v="Starbucks Mumbai"/>
    <s v="India"/>
    <x v="2"/>
    <s v="Mumbai"/>
    <s v="West"/>
    <x v="134"/>
    <x v="4"/>
    <x v="0"/>
    <x v="5"/>
    <s v="Anu"/>
    <n v="5"/>
    <n v="1100"/>
    <n v="877.33"/>
    <n v="222.67"/>
    <x v="101"/>
    <n v="4.0999999999999996"/>
    <n v="5"/>
    <x v="1"/>
    <s v="Regular"/>
    <s v="Completed"/>
    <n v="19.07"/>
    <n v="72.87"/>
    <n v="7183"/>
    <n v="10454"/>
    <n v="6620"/>
    <n v="6704"/>
    <x v="2"/>
  </r>
  <r>
    <n v="1239"/>
    <s v="Starbucks Bengaluru"/>
    <s v="India"/>
    <x v="0"/>
    <s v="Bengaluru"/>
    <s v="South"/>
    <x v="135"/>
    <x v="0"/>
    <x v="0"/>
    <x v="5"/>
    <s v="Anu"/>
    <n v="22"/>
    <n v="5984"/>
    <n v="3596.03"/>
    <n v="2387.9699999999998"/>
    <x v="160"/>
    <n v="3.9"/>
    <n v="5"/>
    <x v="1"/>
    <s v="Gold"/>
    <s v="Cancelled"/>
    <n v="12.97"/>
    <n v="77.59"/>
    <n v="7818"/>
    <n v="11475"/>
    <n v="5882"/>
    <n v="7399"/>
    <x v="0"/>
  </r>
  <r>
    <n v="1240"/>
    <s v="Starbucks Mumbai"/>
    <s v="India"/>
    <x v="2"/>
    <s v="Mumbai"/>
    <s v="West"/>
    <x v="129"/>
    <x v="1"/>
    <x v="2"/>
    <x v="4"/>
    <s v="Asha"/>
    <n v="14"/>
    <n v="4928"/>
    <n v="3480.7"/>
    <n v="1447.3"/>
    <x v="12"/>
    <n v="4.3"/>
    <n v="5"/>
    <x v="0"/>
    <s v="Premium"/>
    <s v="Cancelled"/>
    <n v="19.07"/>
    <n v="72.87"/>
    <n v="11148"/>
    <n v="15625"/>
    <n v="10601"/>
    <n v="13653"/>
    <x v="1"/>
  </r>
  <r>
    <n v="1241"/>
    <s v="Starbucks Bengaluru"/>
    <s v="India"/>
    <x v="0"/>
    <s v="Bengaluru"/>
    <s v="South"/>
    <x v="15"/>
    <x v="3"/>
    <x v="0"/>
    <x v="0"/>
    <s v="Rahul"/>
    <n v="57"/>
    <n v="11172"/>
    <n v="7713.59"/>
    <n v="3458.41"/>
    <x v="158"/>
    <n v="4.3"/>
    <n v="5"/>
    <x v="2"/>
    <s v="Regular"/>
    <s v="Completed"/>
    <n v="12.97"/>
    <n v="77.59"/>
    <n v="10986"/>
    <n v="12056"/>
    <n v="10395"/>
    <n v="11272"/>
    <x v="1"/>
  </r>
  <r>
    <n v="1242"/>
    <s v="Starbucks Chennai"/>
    <s v="India"/>
    <x v="3"/>
    <s v="Chennai"/>
    <s v="South"/>
    <x v="94"/>
    <x v="0"/>
    <x v="2"/>
    <x v="3"/>
    <s v="Anu"/>
    <n v="16"/>
    <n v="4384"/>
    <n v="2845.92"/>
    <n v="1538.08"/>
    <x v="104"/>
    <n v="4.5999999999999996"/>
    <n v="5"/>
    <x v="0"/>
    <s v="Premium"/>
    <s v="Cancelled"/>
    <n v="13.08"/>
    <n v="80.27"/>
    <n v="12795"/>
    <n v="14755"/>
    <n v="11934"/>
    <n v="13008"/>
    <x v="3"/>
  </r>
  <r>
    <n v="1243"/>
    <s v="Starbucks Bengaluru"/>
    <s v="India"/>
    <x v="0"/>
    <s v="Bengaluru"/>
    <s v="South"/>
    <x v="119"/>
    <x v="3"/>
    <x v="2"/>
    <x v="4"/>
    <s v="Anu"/>
    <n v="60"/>
    <n v="21900"/>
    <n v="15955.82"/>
    <n v="5944.18"/>
    <x v="60"/>
    <n v="4.8"/>
    <n v="5"/>
    <x v="0"/>
    <s v="Regular"/>
    <s v="Completed"/>
    <n v="12.97"/>
    <n v="77.59"/>
    <n v="8692"/>
    <n v="10668"/>
    <n v="7170"/>
    <n v="10331"/>
    <x v="2"/>
  </r>
  <r>
    <n v="1244"/>
    <s v="Starbucks Chennai"/>
    <s v="India"/>
    <x v="3"/>
    <s v="Chennai"/>
    <s v="South"/>
    <x v="30"/>
    <x v="5"/>
    <x v="3"/>
    <x v="7"/>
    <s v="Neha"/>
    <n v="38"/>
    <n v="10754"/>
    <n v="8125.62"/>
    <n v="2628.38"/>
    <x v="151"/>
    <n v="3.8"/>
    <n v="10"/>
    <x v="1"/>
    <s v="Premium"/>
    <s v="Refunded"/>
    <n v="13.08"/>
    <n v="80.27"/>
    <n v="8082"/>
    <n v="9271"/>
    <n v="6936"/>
    <n v="8732"/>
    <x v="0"/>
  </r>
  <r>
    <n v="1245"/>
    <s v="Starbucks Kochi"/>
    <s v="India"/>
    <x v="4"/>
    <s v="Kochi"/>
    <s v="South"/>
    <x v="84"/>
    <x v="5"/>
    <x v="3"/>
    <x v="7"/>
    <s v="Vivek"/>
    <n v="31"/>
    <n v="6975"/>
    <n v="4219.1400000000003"/>
    <n v="2755.86"/>
    <x v="43"/>
    <n v="4.4000000000000004"/>
    <n v="5"/>
    <x v="1"/>
    <s v="Premium"/>
    <s v="Completed"/>
    <n v="9.93"/>
    <n v="76.260000000000005"/>
    <n v="11211"/>
    <n v="15878"/>
    <n v="9392"/>
    <n v="13224"/>
    <x v="1"/>
  </r>
  <r>
    <n v="1246"/>
    <s v="Starbucks Bengaluru"/>
    <s v="India"/>
    <x v="0"/>
    <s v="Bengaluru"/>
    <s v="South"/>
    <x v="74"/>
    <x v="5"/>
    <x v="1"/>
    <x v="2"/>
    <s v="Neha"/>
    <n v="7"/>
    <n v="1421"/>
    <n v="885.64"/>
    <n v="535.36"/>
    <x v="161"/>
    <n v="4.8"/>
    <n v="10"/>
    <x v="2"/>
    <s v="Gold"/>
    <s v="Cancelled"/>
    <n v="12.97"/>
    <n v="77.59"/>
    <n v="10038"/>
    <n v="14579"/>
    <n v="9492"/>
    <n v="11451"/>
    <x v="1"/>
  </r>
  <r>
    <n v="1247"/>
    <s v="Starbucks Mumbai"/>
    <s v="India"/>
    <x v="2"/>
    <s v="Mumbai"/>
    <s v="West"/>
    <x v="127"/>
    <x v="5"/>
    <x v="2"/>
    <x v="3"/>
    <s v="Vivek"/>
    <n v="57"/>
    <n v="12768"/>
    <n v="9500.48"/>
    <n v="3267.52"/>
    <x v="162"/>
    <n v="5"/>
    <n v="15"/>
    <x v="2"/>
    <s v="Gold"/>
    <s v="Completed"/>
    <n v="19.07"/>
    <n v="72.87"/>
    <n v="10444"/>
    <n v="14211"/>
    <n v="8722"/>
    <n v="10880"/>
    <x v="0"/>
  </r>
  <r>
    <n v="1248"/>
    <s v="Starbucks Mumbai"/>
    <s v="India"/>
    <x v="2"/>
    <s v="Mumbai"/>
    <s v="West"/>
    <x v="42"/>
    <x v="3"/>
    <x v="2"/>
    <x v="3"/>
    <s v="Rahul"/>
    <n v="9"/>
    <n v="2133"/>
    <n v="1516.02"/>
    <n v="616.98"/>
    <x v="73"/>
    <n v="3.8"/>
    <n v="5"/>
    <x v="1"/>
    <s v="Premium"/>
    <s v="Cancelled"/>
    <n v="19.07"/>
    <n v="72.87"/>
    <n v="14236"/>
    <n v="16037"/>
    <n v="13106"/>
    <n v="15708"/>
    <x v="0"/>
  </r>
  <r>
    <n v="1249"/>
    <s v="Starbucks Kochi"/>
    <s v="India"/>
    <x v="4"/>
    <s v="Kochi"/>
    <s v="South"/>
    <x v="25"/>
    <x v="2"/>
    <x v="0"/>
    <x v="0"/>
    <s v="Vivek"/>
    <n v="22"/>
    <n v="6974"/>
    <n v="4119.17"/>
    <n v="2854.83"/>
    <x v="102"/>
    <n v="4.5"/>
    <n v="15"/>
    <x v="1"/>
    <s v="Regular"/>
    <s v="Refunded"/>
    <n v="9.93"/>
    <n v="76.260000000000005"/>
    <n v="7488"/>
    <n v="11524"/>
    <n v="6043"/>
    <n v="7032"/>
    <x v="3"/>
  </r>
  <r>
    <n v="1250"/>
    <s v="Starbucks Chennai"/>
    <s v="India"/>
    <x v="3"/>
    <s v="Chennai"/>
    <s v="South"/>
    <x v="108"/>
    <x v="4"/>
    <x v="2"/>
    <x v="4"/>
    <s v="Rahul"/>
    <n v="52"/>
    <n v="17368"/>
    <n v="13721.02"/>
    <n v="3646.98"/>
    <x v="163"/>
    <n v="3.9"/>
    <n v="15"/>
    <x v="0"/>
    <s v="Regular"/>
    <s v="Cancelled"/>
    <n v="13.08"/>
    <n v="80.27"/>
    <n v="10414"/>
    <n v="14326"/>
    <n v="8428"/>
    <n v="12524"/>
    <x v="2"/>
  </r>
  <r>
    <n v="1251"/>
    <s v="Starbucks Mumbai"/>
    <s v="India"/>
    <x v="2"/>
    <s v="Mumbai"/>
    <s v="West"/>
    <x v="79"/>
    <x v="3"/>
    <x v="1"/>
    <x v="8"/>
    <s v="Rahul"/>
    <n v="39"/>
    <n v="15522"/>
    <n v="9968.5499999999993"/>
    <n v="5553.45"/>
    <x v="73"/>
    <n v="4.9000000000000004"/>
    <n v="10"/>
    <x v="1"/>
    <s v="Premium"/>
    <s v="Refunded"/>
    <n v="19.07"/>
    <n v="72.87"/>
    <n v="9782"/>
    <n v="10880"/>
    <n v="8999"/>
    <n v="9526"/>
    <x v="3"/>
  </r>
  <r>
    <n v="1252"/>
    <s v="Starbucks New Delhi"/>
    <s v="India"/>
    <x v="1"/>
    <s v="New Delhi"/>
    <s v="North"/>
    <x v="76"/>
    <x v="2"/>
    <x v="3"/>
    <x v="7"/>
    <s v="Vivek"/>
    <n v="50"/>
    <n v="11750"/>
    <n v="6937.11"/>
    <n v="4812.8900000000003"/>
    <x v="164"/>
    <n v="4"/>
    <n v="10"/>
    <x v="0"/>
    <s v="Gold"/>
    <s v="Cancelled"/>
    <n v="28.61"/>
    <n v="77.2"/>
    <n v="12693"/>
    <n v="16321"/>
    <n v="12101"/>
    <n v="12933"/>
    <x v="1"/>
  </r>
  <r>
    <n v="1253"/>
    <s v="Starbucks Chennai"/>
    <s v="India"/>
    <x v="3"/>
    <s v="Chennai"/>
    <s v="South"/>
    <x v="44"/>
    <x v="0"/>
    <x v="2"/>
    <x v="3"/>
    <s v="Vivek"/>
    <n v="8"/>
    <n v="1912"/>
    <n v="1318.57"/>
    <n v="593.42999999999995"/>
    <x v="165"/>
    <n v="3.9"/>
    <n v="0"/>
    <x v="0"/>
    <s v="Premium"/>
    <s v="Cancelled"/>
    <n v="13.08"/>
    <n v="80.27"/>
    <n v="13526"/>
    <n v="16331"/>
    <n v="12415"/>
    <n v="14376"/>
    <x v="3"/>
  </r>
  <r>
    <n v="1254"/>
    <s v="Starbucks Bengaluru"/>
    <s v="India"/>
    <x v="0"/>
    <s v="Bengaluru"/>
    <s v="South"/>
    <x v="39"/>
    <x v="4"/>
    <x v="1"/>
    <x v="2"/>
    <s v="Anu"/>
    <n v="19"/>
    <n v="4161"/>
    <n v="2661.67"/>
    <n v="1499.33"/>
    <x v="46"/>
    <n v="4.3"/>
    <n v="10"/>
    <x v="1"/>
    <s v="Gold"/>
    <s v="Cancelled"/>
    <n v="12.97"/>
    <n v="77.59"/>
    <n v="14778"/>
    <n v="15857"/>
    <n v="13591"/>
    <n v="15643"/>
    <x v="2"/>
  </r>
  <r>
    <n v="1255"/>
    <s v="Starbucks Chennai"/>
    <s v="India"/>
    <x v="3"/>
    <s v="Chennai"/>
    <s v="South"/>
    <x v="52"/>
    <x v="5"/>
    <x v="0"/>
    <x v="1"/>
    <s v="Asha"/>
    <n v="56"/>
    <n v="18984"/>
    <n v="12464.65"/>
    <n v="6519.35"/>
    <x v="166"/>
    <n v="4.4000000000000004"/>
    <n v="10"/>
    <x v="0"/>
    <s v="Gold"/>
    <s v="Completed"/>
    <n v="13.08"/>
    <n v="80.27"/>
    <n v="6169"/>
    <n v="8016"/>
    <n v="4928"/>
    <n v="5483"/>
    <x v="0"/>
  </r>
  <r>
    <n v="1256"/>
    <s v="Starbucks New Delhi"/>
    <s v="India"/>
    <x v="1"/>
    <s v="New Delhi"/>
    <s v="North"/>
    <x v="120"/>
    <x v="5"/>
    <x v="3"/>
    <x v="7"/>
    <s v="Asha"/>
    <n v="20"/>
    <n v="4740"/>
    <n v="3160.73"/>
    <n v="1579.27"/>
    <x v="112"/>
    <n v="4.0999999999999996"/>
    <n v="0"/>
    <x v="2"/>
    <s v="Regular"/>
    <s v="Cancelled"/>
    <n v="28.61"/>
    <n v="77.2"/>
    <n v="8867"/>
    <n v="10661"/>
    <n v="6924"/>
    <n v="7035"/>
    <x v="0"/>
  </r>
  <r>
    <n v="1257"/>
    <s v="Starbucks Mumbai"/>
    <s v="India"/>
    <x v="2"/>
    <s v="Mumbai"/>
    <s v="West"/>
    <x v="128"/>
    <x v="1"/>
    <x v="1"/>
    <x v="8"/>
    <s v="Vivek"/>
    <n v="39"/>
    <n v="15171"/>
    <n v="9018.0400000000009"/>
    <n v="6152.96"/>
    <x v="165"/>
    <n v="5"/>
    <n v="10"/>
    <x v="1"/>
    <s v="Gold"/>
    <s v="Refunded"/>
    <n v="19.07"/>
    <n v="72.87"/>
    <n v="7289"/>
    <n v="9240"/>
    <n v="5551"/>
    <n v="9043"/>
    <x v="2"/>
  </r>
  <r>
    <n v="1258"/>
    <s v="Starbucks Bengaluru"/>
    <s v="India"/>
    <x v="0"/>
    <s v="Bengaluru"/>
    <s v="South"/>
    <x v="125"/>
    <x v="1"/>
    <x v="0"/>
    <x v="0"/>
    <s v="Neha"/>
    <n v="17"/>
    <n v="3672"/>
    <n v="2640.06"/>
    <n v="1031.94"/>
    <x v="95"/>
    <n v="4.4000000000000004"/>
    <n v="0"/>
    <x v="1"/>
    <s v="Regular"/>
    <s v="Completed"/>
    <n v="12.97"/>
    <n v="77.59"/>
    <n v="14282"/>
    <n v="18603"/>
    <n v="12451"/>
    <n v="13365"/>
    <x v="3"/>
  </r>
  <r>
    <n v="1259"/>
    <s v="Starbucks Mumbai"/>
    <s v="India"/>
    <x v="2"/>
    <s v="Mumbai"/>
    <s v="West"/>
    <x v="136"/>
    <x v="1"/>
    <x v="1"/>
    <x v="2"/>
    <s v="Neha"/>
    <n v="49"/>
    <n v="19600"/>
    <n v="15366.14"/>
    <n v="4233.8599999999997"/>
    <x v="161"/>
    <n v="4.5999999999999996"/>
    <n v="0"/>
    <x v="0"/>
    <s v="Regular"/>
    <s v="Completed"/>
    <n v="19.07"/>
    <n v="72.87"/>
    <n v="8586"/>
    <n v="10669"/>
    <n v="8056"/>
    <n v="9156"/>
    <x v="2"/>
  </r>
  <r>
    <n v="1260"/>
    <s v="Starbucks Mumbai"/>
    <s v="India"/>
    <x v="2"/>
    <s v="Mumbai"/>
    <s v="West"/>
    <x v="52"/>
    <x v="5"/>
    <x v="0"/>
    <x v="0"/>
    <s v="Vivek"/>
    <n v="6"/>
    <n v="1350"/>
    <n v="763.97"/>
    <n v="586.03"/>
    <x v="60"/>
    <n v="4.5999999999999996"/>
    <n v="15"/>
    <x v="2"/>
    <s v="Gold"/>
    <s v="Completed"/>
    <n v="19.07"/>
    <n v="72.87"/>
    <n v="13771"/>
    <n v="17824"/>
    <n v="12456"/>
    <n v="17100"/>
    <x v="1"/>
  </r>
  <r>
    <n v="1261"/>
    <s v="Starbucks Chennai"/>
    <s v="India"/>
    <x v="3"/>
    <s v="Chennai"/>
    <s v="South"/>
    <x v="137"/>
    <x v="2"/>
    <x v="2"/>
    <x v="3"/>
    <s v="Asha"/>
    <n v="21"/>
    <n v="4893"/>
    <n v="2732.36"/>
    <n v="2160.64"/>
    <x v="167"/>
    <n v="3.8"/>
    <n v="5"/>
    <x v="0"/>
    <s v="Gold"/>
    <s v="Completed"/>
    <n v="13.08"/>
    <n v="80.27"/>
    <n v="6898"/>
    <n v="11113"/>
    <n v="5083"/>
    <n v="7830"/>
    <x v="3"/>
  </r>
  <r>
    <n v="1262"/>
    <s v="Starbucks New Delhi"/>
    <s v="India"/>
    <x v="1"/>
    <s v="New Delhi"/>
    <s v="North"/>
    <x v="133"/>
    <x v="1"/>
    <x v="2"/>
    <x v="4"/>
    <s v="Rahul"/>
    <n v="26"/>
    <n v="5096"/>
    <n v="3358.66"/>
    <n v="1737.34"/>
    <x v="168"/>
    <n v="4.0999999999999996"/>
    <n v="10"/>
    <x v="2"/>
    <s v="Regular"/>
    <s v="Completed"/>
    <n v="28.61"/>
    <n v="77.2"/>
    <n v="14904"/>
    <n v="15931"/>
    <n v="12980"/>
    <n v="15806"/>
    <x v="3"/>
  </r>
  <r>
    <n v="1263"/>
    <s v="Starbucks Bengaluru"/>
    <s v="India"/>
    <x v="0"/>
    <s v="Bengaluru"/>
    <s v="South"/>
    <x v="90"/>
    <x v="5"/>
    <x v="1"/>
    <x v="2"/>
    <s v="Asha"/>
    <n v="7"/>
    <n v="2016"/>
    <n v="1390.59"/>
    <n v="625.41"/>
    <x v="111"/>
    <n v="3.9"/>
    <n v="5"/>
    <x v="1"/>
    <s v="Premium"/>
    <s v="Cancelled"/>
    <n v="12.97"/>
    <n v="77.59"/>
    <n v="14814"/>
    <n v="17945"/>
    <n v="13900"/>
    <n v="16821"/>
    <x v="1"/>
  </r>
  <r>
    <n v="1264"/>
    <s v="Starbucks New Delhi"/>
    <s v="India"/>
    <x v="1"/>
    <s v="New Delhi"/>
    <s v="North"/>
    <x v="7"/>
    <x v="4"/>
    <x v="3"/>
    <x v="6"/>
    <s v="Rahul"/>
    <n v="17"/>
    <n v="4284"/>
    <n v="3242.73"/>
    <n v="1041.27"/>
    <x v="169"/>
    <n v="4.0999999999999996"/>
    <n v="15"/>
    <x v="1"/>
    <s v="Regular"/>
    <s v="Refunded"/>
    <n v="28.61"/>
    <n v="77.2"/>
    <n v="11315"/>
    <n v="14969"/>
    <n v="9413"/>
    <n v="12422"/>
    <x v="1"/>
  </r>
  <r>
    <n v="1265"/>
    <s v="Starbucks Mumbai"/>
    <s v="India"/>
    <x v="2"/>
    <s v="Mumbai"/>
    <s v="West"/>
    <x v="138"/>
    <x v="4"/>
    <x v="0"/>
    <x v="1"/>
    <s v="Neha"/>
    <n v="54"/>
    <n v="14094"/>
    <n v="7817.7"/>
    <n v="6276.3"/>
    <x v="52"/>
    <n v="4"/>
    <n v="15"/>
    <x v="1"/>
    <s v="Regular"/>
    <s v="Cancelled"/>
    <n v="19.07"/>
    <n v="72.87"/>
    <n v="6458"/>
    <n v="10282"/>
    <n v="4800"/>
    <n v="6816"/>
    <x v="1"/>
  </r>
  <r>
    <n v="1266"/>
    <s v="Starbucks Mumbai"/>
    <s v="India"/>
    <x v="2"/>
    <s v="Mumbai"/>
    <s v="West"/>
    <x v="116"/>
    <x v="4"/>
    <x v="1"/>
    <x v="2"/>
    <s v="Asha"/>
    <n v="24"/>
    <n v="6960"/>
    <n v="4673.2299999999996"/>
    <n v="2286.77"/>
    <x v="170"/>
    <n v="4.0999999999999996"/>
    <n v="0"/>
    <x v="2"/>
    <s v="Premium"/>
    <s v="Refunded"/>
    <n v="19.07"/>
    <n v="72.87"/>
    <n v="6734"/>
    <n v="10300"/>
    <n v="5486"/>
    <n v="8761"/>
    <x v="3"/>
  </r>
  <r>
    <n v="1267"/>
    <s v="Starbucks Mumbai"/>
    <s v="India"/>
    <x v="2"/>
    <s v="Mumbai"/>
    <s v="West"/>
    <x v="116"/>
    <x v="4"/>
    <x v="0"/>
    <x v="1"/>
    <s v="Anu"/>
    <n v="56"/>
    <n v="11984"/>
    <n v="7739.43"/>
    <n v="4244.57"/>
    <x v="156"/>
    <n v="4.9000000000000004"/>
    <n v="15"/>
    <x v="0"/>
    <s v="Regular"/>
    <s v="Cancelled"/>
    <n v="19.07"/>
    <n v="72.87"/>
    <n v="13575"/>
    <n v="14582"/>
    <n v="11901"/>
    <n v="13231"/>
    <x v="0"/>
  </r>
  <r>
    <n v="1268"/>
    <s v="Starbucks Mumbai"/>
    <s v="India"/>
    <x v="2"/>
    <s v="Mumbai"/>
    <s v="West"/>
    <x v="28"/>
    <x v="2"/>
    <x v="0"/>
    <x v="5"/>
    <s v="Rahul"/>
    <n v="58"/>
    <n v="20706"/>
    <n v="16247.03"/>
    <n v="4458.97"/>
    <x v="76"/>
    <n v="4.8"/>
    <n v="0"/>
    <x v="1"/>
    <s v="Regular"/>
    <s v="Completed"/>
    <n v="19.07"/>
    <n v="72.87"/>
    <n v="5058"/>
    <n v="7851"/>
    <n v="4302"/>
    <n v="6307"/>
    <x v="0"/>
  </r>
  <r>
    <n v="1269"/>
    <s v="Starbucks Mumbai"/>
    <s v="India"/>
    <x v="2"/>
    <s v="Mumbai"/>
    <s v="West"/>
    <x v="12"/>
    <x v="4"/>
    <x v="0"/>
    <x v="5"/>
    <s v="Neha"/>
    <n v="19"/>
    <n v="5168"/>
    <n v="3368.37"/>
    <n v="1799.63"/>
    <x v="171"/>
    <n v="4.5999999999999996"/>
    <n v="15"/>
    <x v="2"/>
    <s v="Premium"/>
    <s v="Refunded"/>
    <n v="19.07"/>
    <n v="72.87"/>
    <n v="5601"/>
    <n v="10026"/>
    <n v="4957"/>
    <n v="6894"/>
    <x v="2"/>
  </r>
  <r>
    <n v="1270"/>
    <s v="Starbucks Chennai"/>
    <s v="India"/>
    <x v="3"/>
    <s v="Chennai"/>
    <s v="South"/>
    <x v="139"/>
    <x v="4"/>
    <x v="1"/>
    <x v="8"/>
    <s v="Asha"/>
    <n v="19"/>
    <n v="4579"/>
    <n v="3238.72"/>
    <n v="1340.28"/>
    <x v="149"/>
    <n v="3.6"/>
    <n v="10"/>
    <x v="0"/>
    <s v="Premium"/>
    <s v="Cancelled"/>
    <n v="13.08"/>
    <n v="80.27"/>
    <n v="9851"/>
    <n v="10879"/>
    <n v="9124"/>
    <n v="10750"/>
    <x v="2"/>
  </r>
  <r>
    <n v="1271"/>
    <s v="Starbucks Mumbai"/>
    <s v="India"/>
    <x v="2"/>
    <s v="Mumbai"/>
    <s v="West"/>
    <x v="140"/>
    <x v="1"/>
    <x v="3"/>
    <x v="7"/>
    <s v="Anu"/>
    <n v="59"/>
    <n v="21476"/>
    <n v="16138.97"/>
    <n v="5337.03"/>
    <x v="172"/>
    <n v="5"/>
    <n v="0"/>
    <x v="0"/>
    <s v="Gold"/>
    <s v="Refunded"/>
    <n v="19.07"/>
    <n v="72.87"/>
    <n v="13515"/>
    <n v="17917"/>
    <n v="11799"/>
    <n v="15064"/>
    <x v="2"/>
  </r>
  <r>
    <n v="1272"/>
    <s v="Starbucks Bengaluru"/>
    <s v="India"/>
    <x v="0"/>
    <s v="Bengaluru"/>
    <s v="South"/>
    <x v="122"/>
    <x v="5"/>
    <x v="1"/>
    <x v="2"/>
    <s v="Rahul"/>
    <n v="8"/>
    <n v="2208"/>
    <n v="1266.8599999999999"/>
    <n v="941.14"/>
    <x v="122"/>
    <n v="3.6"/>
    <n v="5"/>
    <x v="0"/>
    <s v="Gold"/>
    <s v="Refunded"/>
    <n v="12.97"/>
    <n v="77.59"/>
    <n v="12180"/>
    <n v="16097"/>
    <n v="10349"/>
    <n v="12227"/>
    <x v="1"/>
  </r>
  <r>
    <n v="1273"/>
    <s v="Starbucks Bengaluru"/>
    <s v="India"/>
    <x v="0"/>
    <s v="Bengaluru"/>
    <s v="South"/>
    <x v="85"/>
    <x v="3"/>
    <x v="3"/>
    <x v="7"/>
    <s v="Rahul"/>
    <n v="31"/>
    <n v="7006"/>
    <n v="4372.71"/>
    <n v="2633.29"/>
    <x v="159"/>
    <n v="4.0999999999999996"/>
    <n v="10"/>
    <x v="1"/>
    <s v="Premium"/>
    <s v="Cancelled"/>
    <n v="12.97"/>
    <n v="77.59"/>
    <n v="7054"/>
    <n v="8208"/>
    <n v="6035"/>
    <n v="6851"/>
    <x v="3"/>
  </r>
  <r>
    <n v="1274"/>
    <s v="Starbucks Bengaluru"/>
    <s v="India"/>
    <x v="0"/>
    <s v="Bengaluru"/>
    <s v="South"/>
    <x v="22"/>
    <x v="2"/>
    <x v="3"/>
    <x v="6"/>
    <s v="Asha"/>
    <n v="10"/>
    <n v="3270"/>
    <n v="2231.62"/>
    <n v="1038.3800000000001"/>
    <x v="4"/>
    <n v="4.4000000000000004"/>
    <n v="10"/>
    <x v="1"/>
    <s v="Gold"/>
    <s v="Refunded"/>
    <n v="12.97"/>
    <n v="77.59"/>
    <n v="5798"/>
    <n v="9530"/>
    <n v="5264"/>
    <n v="8375"/>
    <x v="2"/>
  </r>
  <r>
    <n v="1275"/>
    <s v="Starbucks Bengaluru"/>
    <s v="India"/>
    <x v="0"/>
    <s v="Bengaluru"/>
    <s v="South"/>
    <x v="93"/>
    <x v="4"/>
    <x v="0"/>
    <x v="1"/>
    <s v="Anu"/>
    <n v="13"/>
    <n v="4771"/>
    <n v="3631.31"/>
    <n v="1139.69"/>
    <x v="46"/>
    <n v="4.2"/>
    <n v="0"/>
    <x v="1"/>
    <s v="Regular"/>
    <s v="Completed"/>
    <n v="12.97"/>
    <n v="77.59"/>
    <n v="6980"/>
    <n v="9073"/>
    <n v="5050"/>
    <n v="6177"/>
    <x v="0"/>
  </r>
  <r>
    <n v="1276"/>
    <s v="Starbucks Bengaluru"/>
    <s v="India"/>
    <x v="0"/>
    <s v="Bengaluru"/>
    <s v="South"/>
    <x v="24"/>
    <x v="4"/>
    <x v="1"/>
    <x v="2"/>
    <s v="Anu"/>
    <n v="50"/>
    <n v="12200"/>
    <n v="8165.37"/>
    <n v="4034.63"/>
    <x v="173"/>
    <n v="4.7"/>
    <n v="0"/>
    <x v="1"/>
    <s v="Regular"/>
    <s v="Cancelled"/>
    <n v="12.97"/>
    <n v="77.59"/>
    <n v="12542"/>
    <n v="13628"/>
    <n v="10941"/>
    <n v="12526"/>
    <x v="3"/>
  </r>
  <r>
    <n v="1277"/>
    <s v="Starbucks Chennai"/>
    <s v="India"/>
    <x v="3"/>
    <s v="Chennai"/>
    <s v="South"/>
    <x v="124"/>
    <x v="3"/>
    <x v="0"/>
    <x v="0"/>
    <s v="Vivek"/>
    <n v="17"/>
    <n v="6528"/>
    <n v="4326.87"/>
    <n v="2201.13"/>
    <x v="28"/>
    <n v="4.8"/>
    <n v="5"/>
    <x v="0"/>
    <s v="Gold"/>
    <s v="Refunded"/>
    <n v="13.08"/>
    <n v="80.27"/>
    <n v="8496"/>
    <n v="9569"/>
    <n v="6560"/>
    <n v="8611"/>
    <x v="0"/>
  </r>
  <r>
    <n v="1278"/>
    <s v="Starbucks New Delhi"/>
    <s v="India"/>
    <x v="1"/>
    <s v="New Delhi"/>
    <s v="North"/>
    <x v="10"/>
    <x v="4"/>
    <x v="1"/>
    <x v="2"/>
    <s v="Anu"/>
    <n v="24"/>
    <n v="6720"/>
    <n v="5230.01"/>
    <n v="1489.99"/>
    <x v="57"/>
    <n v="4.5999999999999996"/>
    <n v="15"/>
    <x v="1"/>
    <s v="Premium"/>
    <s v="Completed"/>
    <n v="28.61"/>
    <n v="77.2"/>
    <n v="13881"/>
    <n v="17109"/>
    <n v="12220"/>
    <n v="12603"/>
    <x v="0"/>
  </r>
  <r>
    <n v="1279"/>
    <s v="Starbucks Kochi"/>
    <s v="India"/>
    <x v="4"/>
    <s v="Kochi"/>
    <s v="South"/>
    <x v="114"/>
    <x v="3"/>
    <x v="3"/>
    <x v="7"/>
    <s v="Neha"/>
    <n v="31"/>
    <n v="9393"/>
    <n v="5417.62"/>
    <n v="3975.38"/>
    <x v="174"/>
    <n v="3.9"/>
    <n v="0"/>
    <x v="0"/>
    <s v="Gold"/>
    <s v="Refunded"/>
    <n v="9.93"/>
    <n v="76.260000000000005"/>
    <n v="11405"/>
    <n v="13465"/>
    <n v="10602"/>
    <n v="12104"/>
    <x v="1"/>
  </r>
  <r>
    <n v="1280"/>
    <s v="Starbucks Chennai"/>
    <s v="India"/>
    <x v="3"/>
    <s v="Chennai"/>
    <s v="South"/>
    <x v="141"/>
    <x v="2"/>
    <x v="1"/>
    <x v="8"/>
    <s v="Rahul"/>
    <n v="45"/>
    <n v="8415"/>
    <n v="6085.13"/>
    <n v="2329.87"/>
    <x v="175"/>
    <n v="4.5999999999999996"/>
    <n v="15"/>
    <x v="1"/>
    <s v="Gold"/>
    <s v="Refunded"/>
    <n v="13.08"/>
    <n v="80.27"/>
    <n v="10533"/>
    <n v="15433"/>
    <n v="9238"/>
    <n v="11716"/>
    <x v="2"/>
  </r>
  <r>
    <n v="1281"/>
    <s v="Starbucks New Delhi"/>
    <s v="India"/>
    <x v="1"/>
    <s v="New Delhi"/>
    <s v="North"/>
    <x v="142"/>
    <x v="5"/>
    <x v="2"/>
    <x v="4"/>
    <s v="Neha"/>
    <n v="9"/>
    <n v="3465"/>
    <n v="2697.2"/>
    <n v="767.8"/>
    <x v="102"/>
    <n v="4.8"/>
    <n v="0"/>
    <x v="0"/>
    <s v="Gold"/>
    <s v="Completed"/>
    <n v="28.61"/>
    <n v="77.2"/>
    <n v="9947"/>
    <n v="14735"/>
    <n v="8634"/>
    <n v="13225"/>
    <x v="2"/>
  </r>
  <r>
    <n v="1282"/>
    <s v="Starbucks Bengaluru"/>
    <s v="India"/>
    <x v="0"/>
    <s v="Bengaluru"/>
    <s v="South"/>
    <x v="45"/>
    <x v="3"/>
    <x v="3"/>
    <x v="6"/>
    <s v="Anu"/>
    <n v="15"/>
    <n v="5430"/>
    <n v="4232.99"/>
    <n v="1197.01"/>
    <x v="176"/>
    <n v="4.2"/>
    <n v="0"/>
    <x v="1"/>
    <s v="Premium"/>
    <s v="Completed"/>
    <n v="12.97"/>
    <n v="77.59"/>
    <n v="7298"/>
    <n v="11799"/>
    <n v="5537"/>
    <n v="9161"/>
    <x v="0"/>
  </r>
  <r>
    <n v="1283"/>
    <s v="Starbucks New Delhi"/>
    <s v="India"/>
    <x v="1"/>
    <s v="New Delhi"/>
    <s v="North"/>
    <x v="118"/>
    <x v="0"/>
    <x v="2"/>
    <x v="4"/>
    <s v="Vivek"/>
    <n v="50"/>
    <n v="11250"/>
    <n v="8648.92"/>
    <n v="2601.08"/>
    <x v="51"/>
    <n v="4.0999999999999996"/>
    <n v="10"/>
    <x v="0"/>
    <s v="Premium"/>
    <s v="Refunded"/>
    <n v="28.61"/>
    <n v="77.2"/>
    <n v="9554"/>
    <n v="12620"/>
    <n v="7597"/>
    <n v="9545"/>
    <x v="0"/>
  </r>
  <r>
    <n v="1284"/>
    <s v="Starbucks Kochi"/>
    <s v="India"/>
    <x v="4"/>
    <s v="Kochi"/>
    <s v="South"/>
    <x v="67"/>
    <x v="0"/>
    <x v="1"/>
    <x v="8"/>
    <s v="Neha"/>
    <n v="32"/>
    <n v="12608"/>
    <n v="9686.5400000000009"/>
    <n v="2921.46"/>
    <x v="89"/>
    <n v="4.4000000000000004"/>
    <n v="15"/>
    <x v="0"/>
    <s v="Gold"/>
    <s v="Completed"/>
    <n v="9.93"/>
    <n v="76.260000000000005"/>
    <n v="9158"/>
    <n v="13769"/>
    <n v="8110"/>
    <n v="10942"/>
    <x v="1"/>
  </r>
  <r>
    <n v="1285"/>
    <s v="Starbucks Chennai"/>
    <s v="India"/>
    <x v="3"/>
    <s v="Chennai"/>
    <s v="South"/>
    <x v="6"/>
    <x v="3"/>
    <x v="3"/>
    <x v="6"/>
    <s v="Vivek"/>
    <n v="15"/>
    <n v="5790"/>
    <n v="4131.1499999999996"/>
    <n v="1658.85"/>
    <x v="44"/>
    <n v="4.0999999999999996"/>
    <n v="15"/>
    <x v="0"/>
    <s v="Regular"/>
    <s v="Completed"/>
    <n v="13.08"/>
    <n v="80.27"/>
    <n v="8484"/>
    <n v="11806"/>
    <n v="7900"/>
    <n v="8536"/>
    <x v="3"/>
  </r>
  <r>
    <n v="1286"/>
    <s v="Starbucks Kochi"/>
    <s v="India"/>
    <x v="4"/>
    <s v="Kochi"/>
    <s v="South"/>
    <x v="132"/>
    <x v="0"/>
    <x v="2"/>
    <x v="3"/>
    <s v="Anu"/>
    <n v="5"/>
    <n v="2005"/>
    <n v="1367.77"/>
    <n v="637.23"/>
    <x v="177"/>
    <n v="4.4000000000000004"/>
    <n v="10"/>
    <x v="2"/>
    <s v="Premium"/>
    <s v="Cancelled"/>
    <n v="9.93"/>
    <n v="76.260000000000005"/>
    <n v="12117"/>
    <n v="13221"/>
    <n v="11392"/>
    <n v="12694"/>
    <x v="1"/>
  </r>
  <r>
    <n v="1287"/>
    <s v="Starbucks Bengaluru"/>
    <s v="India"/>
    <x v="0"/>
    <s v="Bengaluru"/>
    <s v="South"/>
    <x v="124"/>
    <x v="3"/>
    <x v="3"/>
    <x v="6"/>
    <s v="Anu"/>
    <n v="10"/>
    <n v="2770"/>
    <n v="1918.01"/>
    <n v="851.99"/>
    <x v="169"/>
    <n v="4.0999999999999996"/>
    <n v="0"/>
    <x v="0"/>
    <s v="Premium"/>
    <s v="Cancelled"/>
    <n v="12.97"/>
    <n v="77.59"/>
    <n v="9989"/>
    <n v="11152"/>
    <n v="8165"/>
    <n v="9590"/>
    <x v="2"/>
  </r>
  <r>
    <n v="1288"/>
    <s v="Starbucks Bengaluru"/>
    <s v="India"/>
    <x v="0"/>
    <s v="Bengaluru"/>
    <s v="South"/>
    <x v="70"/>
    <x v="3"/>
    <x v="2"/>
    <x v="3"/>
    <s v="Anu"/>
    <n v="53"/>
    <n v="14893"/>
    <n v="9375.59"/>
    <n v="5517.41"/>
    <x v="14"/>
    <n v="4.5"/>
    <n v="0"/>
    <x v="0"/>
    <s v="Premium"/>
    <s v="Refunded"/>
    <n v="12.97"/>
    <n v="77.59"/>
    <n v="8682"/>
    <n v="10369"/>
    <n v="7481"/>
    <n v="9701"/>
    <x v="1"/>
  </r>
  <r>
    <n v="1289"/>
    <s v="Starbucks Bengaluru"/>
    <s v="India"/>
    <x v="0"/>
    <s v="Bengaluru"/>
    <s v="South"/>
    <x v="46"/>
    <x v="1"/>
    <x v="2"/>
    <x v="3"/>
    <s v="Anu"/>
    <n v="19"/>
    <n v="6992"/>
    <n v="5231.3999999999996"/>
    <n v="1760.6"/>
    <x v="12"/>
    <n v="4.2"/>
    <n v="5"/>
    <x v="2"/>
    <s v="Gold"/>
    <s v="Refunded"/>
    <n v="12.97"/>
    <n v="77.59"/>
    <n v="5410"/>
    <n v="7178"/>
    <n v="4900"/>
    <n v="6712"/>
    <x v="1"/>
  </r>
  <r>
    <n v="1290"/>
    <s v="Starbucks Bengaluru"/>
    <s v="India"/>
    <x v="0"/>
    <s v="Bengaluru"/>
    <s v="South"/>
    <x v="71"/>
    <x v="2"/>
    <x v="3"/>
    <x v="6"/>
    <s v="Vivek"/>
    <n v="31"/>
    <n v="12307"/>
    <n v="8773.5"/>
    <n v="3533.5"/>
    <x v="172"/>
    <n v="5"/>
    <n v="0"/>
    <x v="0"/>
    <s v="Premium"/>
    <s v="Refunded"/>
    <n v="12.97"/>
    <n v="77.59"/>
    <n v="7894"/>
    <n v="10061"/>
    <n v="6053"/>
    <n v="9958"/>
    <x v="0"/>
  </r>
  <r>
    <n v="1291"/>
    <s v="Starbucks Kochi"/>
    <s v="India"/>
    <x v="4"/>
    <s v="Kochi"/>
    <s v="South"/>
    <x v="0"/>
    <x v="0"/>
    <x v="2"/>
    <x v="3"/>
    <s v="Anu"/>
    <n v="38"/>
    <n v="11210"/>
    <n v="6440.96"/>
    <n v="4769.04"/>
    <x v="130"/>
    <n v="3.6"/>
    <n v="0"/>
    <x v="2"/>
    <s v="Gold"/>
    <s v="Completed"/>
    <n v="9.93"/>
    <n v="76.260000000000005"/>
    <n v="11814"/>
    <n v="13478"/>
    <n v="10479"/>
    <n v="10995"/>
    <x v="3"/>
  </r>
  <r>
    <n v="1292"/>
    <s v="Starbucks New Delhi"/>
    <s v="India"/>
    <x v="1"/>
    <s v="New Delhi"/>
    <s v="North"/>
    <x v="9"/>
    <x v="3"/>
    <x v="0"/>
    <x v="1"/>
    <s v="Asha"/>
    <n v="39"/>
    <n v="8541"/>
    <n v="5006.3599999999997"/>
    <n v="3534.64"/>
    <x v="87"/>
    <n v="4.4000000000000004"/>
    <n v="10"/>
    <x v="1"/>
    <s v="Premium"/>
    <s v="Cancelled"/>
    <n v="28.61"/>
    <n v="77.2"/>
    <n v="10148"/>
    <n v="11997"/>
    <n v="8982"/>
    <n v="11854"/>
    <x v="0"/>
  </r>
  <r>
    <n v="1293"/>
    <s v="Starbucks Chennai"/>
    <s v="India"/>
    <x v="3"/>
    <s v="Chennai"/>
    <s v="South"/>
    <x v="14"/>
    <x v="5"/>
    <x v="1"/>
    <x v="2"/>
    <s v="Neha"/>
    <n v="38"/>
    <n v="14478"/>
    <n v="10033"/>
    <n v="4445"/>
    <x v="145"/>
    <n v="3.8"/>
    <n v="15"/>
    <x v="2"/>
    <s v="Regular"/>
    <s v="Cancelled"/>
    <n v="13.08"/>
    <n v="80.27"/>
    <n v="12350"/>
    <n v="15070"/>
    <n v="10975"/>
    <n v="14357"/>
    <x v="2"/>
  </r>
  <r>
    <n v="1294"/>
    <s v="Starbucks Kochi"/>
    <s v="India"/>
    <x v="4"/>
    <s v="Kochi"/>
    <s v="South"/>
    <x v="55"/>
    <x v="5"/>
    <x v="2"/>
    <x v="3"/>
    <s v="Rahul"/>
    <n v="59"/>
    <n v="11741"/>
    <n v="7471.72"/>
    <n v="4269.28"/>
    <x v="178"/>
    <n v="4"/>
    <n v="0"/>
    <x v="2"/>
    <s v="Premium"/>
    <s v="Cancelled"/>
    <n v="9.93"/>
    <n v="76.260000000000005"/>
    <n v="9057"/>
    <n v="10405"/>
    <n v="7058"/>
    <n v="7139"/>
    <x v="3"/>
  </r>
  <r>
    <n v="1295"/>
    <s v="Starbucks Chennai"/>
    <s v="India"/>
    <x v="3"/>
    <s v="Chennai"/>
    <s v="South"/>
    <x v="143"/>
    <x v="4"/>
    <x v="2"/>
    <x v="3"/>
    <s v="Rahul"/>
    <n v="57"/>
    <n v="23427"/>
    <n v="13798.94"/>
    <n v="9628.06"/>
    <x v="179"/>
    <n v="4.5999999999999996"/>
    <n v="10"/>
    <x v="1"/>
    <s v="Premium"/>
    <s v="Cancelled"/>
    <n v="13.08"/>
    <n v="80.27"/>
    <n v="12365"/>
    <n v="14976"/>
    <n v="10732"/>
    <n v="11803"/>
    <x v="1"/>
  </r>
  <r>
    <n v="1296"/>
    <s v="Starbucks Kochi"/>
    <s v="India"/>
    <x v="4"/>
    <s v="Kochi"/>
    <s v="South"/>
    <x v="104"/>
    <x v="2"/>
    <x v="0"/>
    <x v="5"/>
    <s v="Asha"/>
    <n v="7"/>
    <n v="1694"/>
    <n v="1278.52"/>
    <n v="415.48"/>
    <x v="180"/>
    <n v="4.5999999999999996"/>
    <n v="10"/>
    <x v="1"/>
    <s v="Premium"/>
    <s v="Cancelled"/>
    <n v="9.93"/>
    <n v="76.260000000000005"/>
    <n v="5436"/>
    <n v="9429"/>
    <n v="3539"/>
    <n v="4784"/>
    <x v="1"/>
  </r>
  <r>
    <n v="1297"/>
    <s v="Starbucks Mumbai"/>
    <s v="India"/>
    <x v="2"/>
    <s v="Mumbai"/>
    <s v="West"/>
    <x v="51"/>
    <x v="2"/>
    <x v="1"/>
    <x v="8"/>
    <s v="Asha"/>
    <n v="22"/>
    <n v="4180"/>
    <n v="2414.91"/>
    <n v="1765.09"/>
    <x v="181"/>
    <n v="4.7"/>
    <n v="5"/>
    <x v="2"/>
    <s v="Premium"/>
    <s v="Completed"/>
    <n v="19.07"/>
    <n v="72.87"/>
    <n v="10840"/>
    <n v="12568"/>
    <n v="9005"/>
    <n v="10866"/>
    <x v="2"/>
  </r>
  <r>
    <n v="1298"/>
    <s v="Starbucks New Delhi"/>
    <s v="India"/>
    <x v="1"/>
    <s v="New Delhi"/>
    <s v="North"/>
    <x v="107"/>
    <x v="1"/>
    <x v="0"/>
    <x v="1"/>
    <s v="Rahul"/>
    <n v="59"/>
    <n v="22656"/>
    <n v="15157.59"/>
    <n v="7498.41"/>
    <x v="182"/>
    <n v="3.8"/>
    <n v="10"/>
    <x v="0"/>
    <s v="Gold"/>
    <s v="Completed"/>
    <n v="28.61"/>
    <n v="77.2"/>
    <n v="6438"/>
    <n v="11264"/>
    <n v="5017"/>
    <n v="8518"/>
    <x v="1"/>
  </r>
  <r>
    <n v="1299"/>
    <s v="Starbucks Mumbai"/>
    <s v="India"/>
    <x v="2"/>
    <s v="Mumbai"/>
    <s v="West"/>
    <x v="40"/>
    <x v="3"/>
    <x v="1"/>
    <x v="8"/>
    <s v="Neha"/>
    <n v="43"/>
    <n v="12642"/>
    <n v="8162.81"/>
    <n v="4479.1899999999996"/>
    <x v="137"/>
    <n v="4.4000000000000004"/>
    <n v="15"/>
    <x v="2"/>
    <s v="Regular"/>
    <s v="Refunded"/>
    <n v="19.07"/>
    <n v="72.87"/>
    <n v="8707"/>
    <n v="10232"/>
    <n v="7077"/>
    <n v="8563"/>
    <x v="2"/>
  </r>
  <r>
    <n v="1300"/>
    <s v="Starbucks New Delhi"/>
    <s v="India"/>
    <x v="1"/>
    <s v="New Delhi"/>
    <s v="North"/>
    <x v="114"/>
    <x v="3"/>
    <x v="0"/>
    <x v="5"/>
    <s v="Anu"/>
    <n v="5"/>
    <n v="1360"/>
    <n v="904.43"/>
    <n v="455.57"/>
    <x v="171"/>
    <n v="4"/>
    <n v="10"/>
    <x v="2"/>
    <s v="Regular"/>
    <s v="Refunded"/>
    <n v="28.61"/>
    <n v="77.2"/>
    <n v="11115"/>
    <n v="14399"/>
    <n v="9879"/>
    <n v="11972"/>
    <x v="1"/>
  </r>
  <r>
    <n v="1301"/>
    <s v="Starbucks Kochi"/>
    <s v="India"/>
    <x v="4"/>
    <s v="Kochi"/>
    <s v="South"/>
    <x v="76"/>
    <x v="2"/>
    <x v="1"/>
    <x v="2"/>
    <s v="Rahul"/>
    <n v="36"/>
    <n v="11736"/>
    <n v="6835.11"/>
    <n v="4900.8900000000003"/>
    <x v="35"/>
    <n v="3.8"/>
    <n v="15"/>
    <x v="1"/>
    <s v="Regular"/>
    <s v="Refunded"/>
    <n v="9.93"/>
    <n v="76.260000000000005"/>
    <n v="14872"/>
    <n v="15962"/>
    <n v="13689"/>
    <n v="14479"/>
    <x v="0"/>
  </r>
  <r>
    <n v="1302"/>
    <s v="Starbucks Kochi"/>
    <s v="India"/>
    <x v="4"/>
    <s v="Kochi"/>
    <s v="South"/>
    <x v="18"/>
    <x v="1"/>
    <x v="1"/>
    <x v="2"/>
    <s v="Vivek"/>
    <n v="38"/>
    <n v="10412"/>
    <n v="7873.97"/>
    <n v="2538.0300000000002"/>
    <x v="147"/>
    <n v="4.8"/>
    <n v="10"/>
    <x v="2"/>
    <s v="Premium"/>
    <s v="Cancelled"/>
    <n v="9.93"/>
    <n v="76.260000000000005"/>
    <n v="8193"/>
    <n v="9205"/>
    <n v="6608"/>
    <n v="6694"/>
    <x v="0"/>
  </r>
  <r>
    <n v="1303"/>
    <s v="Starbucks New Delhi"/>
    <s v="India"/>
    <x v="1"/>
    <s v="New Delhi"/>
    <s v="North"/>
    <x v="106"/>
    <x v="1"/>
    <x v="3"/>
    <x v="6"/>
    <s v="Asha"/>
    <n v="6"/>
    <n v="2304"/>
    <n v="1472.21"/>
    <n v="831.79"/>
    <x v="85"/>
    <n v="4.4000000000000004"/>
    <n v="10"/>
    <x v="0"/>
    <s v="Premium"/>
    <s v="Cancelled"/>
    <n v="28.61"/>
    <n v="77.2"/>
    <n v="9118"/>
    <n v="10350"/>
    <n v="8346"/>
    <n v="9846"/>
    <x v="1"/>
  </r>
  <r>
    <n v="1304"/>
    <s v="Starbucks Bengaluru"/>
    <s v="India"/>
    <x v="0"/>
    <s v="Bengaluru"/>
    <s v="South"/>
    <x v="84"/>
    <x v="5"/>
    <x v="2"/>
    <x v="4"/>
    <s v="Rahul"/>
    <n v="16"/>
    <n v="6592"/>
    <n v="4962.8"/>
    <n v="1629.2"/>
    <x v="183"/>
    <n v="4.3"/>
    <n v="5"/>
    <x v="2"/>
    <s v="Premium"/>
    <s v="Refunded"/>
    <n v="12.97"/>
    <n v="77.59"/>
    <n v="11083"/>
    <n v="12897"/>
    <n v="9656"/>
    <n v="12101"/>
    <x v="1"/>
  </r>
  <r>
    <n v="1305"/>
    <s v="Starbucks Bengaluru"/>
    <s v="India"/>
    <x v="0"/>
    <s v="Bengaluru"/>
    <s v="South"/>
    <x v="128"/>
    <x v="1"/>
    <x v="1"/>
    <x v="2"/>
    <s v="Neha"/>
    <n v="20"/>
    <n v="6760"/>
    <n v="4067.01"/>
    <n v="2692.99"/>
    <x v="82"/>
    <n v="4.4000000000000004"/>
    <n v="0"/>
    <x v="2"/>
    <s v="Premium"/>
    <s v="Completed"/>
    <n v="12.97"/>
    <n v="77.59"/>
    <n v="6180"/>
    <n v="9666"/>
    <n v="5475"/>
    <n v="9433"/>
    <x v="3"/>
  </r>
  <r>
    <n v="1306"/>
    <s v="Starbucks Kochi"/>
    <s v="India"/>
    <x v="4"/>
    <s v="Kochi"/>
    <s v="South"/>
    <x v="4"/>
    <x v="0"/>
    <x v="3"/>
    <x v="7"/>
    <s v="Vivek"/>
    <n v="39"/>
    <n v="15132"/>
    <n v="11314.02"/>
    <n v="3817.98"/>
    <x v="43"/>
    <n v="4.3"/>
    <n v="5"/>
    <x v="0"/>
    <s v="Gold"/>
    <s v="Completed"/>
    <n v="9.93"/>
    <n v="76.260000000000005"/>
    <n v="11773"/>
    <n v="15228"/>
    <n v="10630"/>
    <n v="13163"/>
    <x v="3"/>
  </r>
  <r>
    <n v="1307"/>
    <s v="Starbucks Bengaluru"/>
    <s v="India"/>
    <x v="0"/>
    <s v="Bengaluru"/>
    <s v="South"/>
    <x v="70"/>
    <x v="3"/>
    <x v="3"/>
    <x v="7"/>
    <s v="Vivek"/>
    <n v="51"/>
    <n v="18156"/>
    <n v="12669.32"/>
    <n v="5486.68"/>
    <x v="184"/>
    <n v="3.6"/>
    <n v="0"/>
    <x v="2"/>
    <s v="Gold"/>
    <s v="Completed"/>
    <n v="12.97"/>
    <n v="77.59"/>
    <n v="13473"/>
    <n v="16998"/>
    <n v="12020"/>
    <n v="13493"/>
    <x v="3"/>
  </r>
  <r>
    <n v="1308"/>
    <s v="Starbucks New Delhi"/>
    <s v="India"/>
    <x v="1"/>
    <s v="New Delhi"/>
    <s v="North"/>
    <x v="90"/>
    <x v="5"/>
    <x v="1"/>
    <x v="2"/>
    <s v="Rahul"/>
    <n v="26"/>
    <n v="9854"/>
    <n v="5730.8"/>
    <n v="4123.2"/>
    <x v="185"/>
    <n v="3.7"/>
    <n v="5"/>
    <x v="1"/>
    <s v="Gold"/>
    <s v="Completed"/>
    <n v="28.61"/>
    <n v="77.2"/>
    <n v="5926"/>
    <n v="8536"/>
    <n v="4637"/>
    <n v="7320"/>
    <x v="3"/>
  </r>
  <r>
    <n v="1309"/>
    <s v="Starbucks Kochi"/>
    <s v="India"/>
    <x v="4"/>
    <s v="Kochi"/>
    <s v="South"/>
    <x v="144"/>
    <x v="5"/>
    <x v="1"/>
    <x v="2"/>
    <s v="Neha"/>
    <n v="46"/>
    <n v="12788"/>
    <n v="8516.59"/>
    <n v="4271.41"/>
    <x v="186"/>
    <n v="4.0999999999999996"/>
    <n v="5"/>
    <x v="2"/>
    <s v="Gold"/>
    <s v="Cancelled"/>
    <n v="9.93"/>
    <n v="76.260000000000005"/>
    <n v="11989"/>
    <n v="13540"/>
    <n v="10975"/>
    <n v="13525"/>
    <x v="0"/>
  </r>
  <r>
    <n v="1310"/>
    <s v="Starbucks Bengaluru"/>
    <s v="India"/>
    <x v="0"/>
    <s v="Bengaluru"/>
    <s v="South"/>
    <x v="8"/>
    <x v="5"/>
    <x v="1"/>
    <x v="8"/>
    <s v="Rahul"/>
    <n v="34"/>
    <n v="10438"/>
    <n v="7126.06"/>
    <n v="3311.94"/>
    <x v="36"/>
    <n v="3.7"/>
    <n v="15"/>
    <x v="1"/>
    <s v="Premium"/>
    <s v="Cancelled"/>
    <n v="12.97"/>
    <n v="77.59"/>
    <n v="8056"/>
    <n v="12930"/>
    <n v="7352"/>
    <n v="12043"/>
    <x v="2"/>
  </r>
  <r>
    <n v="1311"/>
    <s v="Starbucks Mumbai"/>
    <s v="India"/>
    <x v="2"/>
    <s v="Mumbai"/>
    <s v="West"/>
    <x v="63"/>
    <x v="4"/>
    <x v="2"/>
    <x v="3"/>
    <s v="Vivek"/>
    <n v="19"/>
    <n v="3667"/>
    <n v="2554.77"/>
    <n v="1112.23"/>
    <x v="187"/>
    <n v="4"/>
    <n v="0"/>
    <x v="0"/>
    <s v="Gold"/>
    <s v="Cancelled"/>
    <n v="19.07"/>
    <n v="72.87"/>
    <n v="10685"/>
    <n v="13941"/>
    <n v="8872"/>
    <n v="10164"/>
    <x v="3"/>
  </r>
  <r>
    <n v="1312"/>
    <s v="Starbucks Bengaluru"/>
    <s v="India"/>
    <x v="0"/>
    <s v="Bengaluru"/>
    <s v="South"/>
    <x v="136"/>
    <x v="1"/>
    <x v="1"/>
    <x v="8"/>
    <s v="Vivek"/>
    <n v="19"/>
    <n v="5833"/>
    <n v="3728.11"/>
    <n v="2104.89"/>
    <x v="188"/>
    <n v="3.9"/>
    <n v="15"/>
    <x v="1"/>
    <s v="Premium"/>
    <s v="Refunded"/>
    <n v="12.97"/>
    <n v="77.59"/>
    <n v="8300"/>
    <n v="10485"/>
    <n v="7520"/>
    <n v="9146"/>
    <x v="0"/>
  </r>
  <r>
    <n v="1313"/>
    <s v="Starbucks New Delhi"/>
    <s v="India"/>
    <x v="1"/>
    <s v="New Delhi"/>
    <s v="North"/>
    <x v="126"/>
    <x v="4"/>
    <x v="2"/>
    <x v="4"/>
    <s v="Asha"/>
    <n v="46"/>
    <n v="13248"/>
    <n v="9618.06"/>
    <n v="3629.94"/>
    <x v="51"/>
    <n v="4.3"/>
    <n v="15"/>
    <x v="0"/>
    <s v="Regular"/>
    <s v="Refunded"/>
    <n v="28.61"/>
    <n v="77.2"/>
    <n v="11912"/>
    <n v="16532"/>
    <n v="11256"/>
    <n v="16378"/>
    <x v="2"/>
  </r>
  <r>
    <n v="1314"/>
    <s v="Starbucks Bengaluru"/>
    <s v="India"/>
    <x v="0"/>
    <s v="Bengaluru"/>
    <s v="South"/>
    <x v="96"/>
    <x v="1"/>
    <x v="0"/>
    <x v="1"/>
    <s v="Rahul"/>
    <n v="60"/>
    <n v="15780"/>
    <n v="12207.21"/>
    <n v="3572.79"/>
    <x v="189"/>
    <n v="4.7"/>
    <n v="5"/>
    <x v="0"/>
    <s v="Premium"/>
    <s v="Cancelled"/>
    <n v="12.97"/>
    <n v="77.59"/>
    <n v="7831"/>
    <n v="12728"/>
    <n v="6574"/>
    <n v="9061"/>
    <x v="2"/>
  </r>
  <r>
    <n v="1315"/>
    <s v="Starbucks Kochi"/>
    <s v="India"/>
    <x v="4"/>
    <s v="Kochi"/>
    <s v="South"/>
    <x v="145"/>
    <x v="1"/>
    <x v="3"/>
    <x v="7"/>
    <s v="Anu"/>
    <n v="30"/>
    <n v="11460"/>
    <n v="8840.0300000000007"/>
    <n v="2619.9699999999998"/>
    <x v="136"/>
    <n v="3.7"/>
    <n v="15"/>
    <x v="1"/>
    <s v="Gold"/>
    <s v="Completed"/>
    <n v="9.93"/>
    <n v="76.260000000000005"/>
    <n v="10836"/>
    <n v="15572"/>
    <n v="9017"/>
    <n v="12467"/>
    <x v="0"/>
  </r>
  <r>
    <n v="1316"/>
    <s v="Starbucks Bengaluru"/>
    <s v="India"/>
    <x v="0"/>
    <s v="Bengaluru"/>
    <s v="South"/>
    <x v="120"/>
    <x v="5"/>
    <x v="0"/>
    <x v="1"/>
    <s v="Neha"/>
    <n v="49"/>
    <n v="17591"/>
    <n v="13432.07"/>
    <n v="4158.93"/>
    <x v="182"/>
    <n v="4"/>
    <n v="15"/>
    <x v="2"/>
    <s v="Regular"/>
    <s v="Refunded"/>
    <n v="12.97"/>
    <n v="77.59"/>
    <n v="13580"/>
    <n v="17355"/>
    <n v="12052"/>
    <n v="15755"/>
    <x v="1"/>
  </r>
  <r>
    <n v="1317"/>
    <s v="Starbucks Mumbai"/>
    <s v="India"/>
    <x v="2"/>
    <s v="Mumbai"/>
    <s v="West"/>
    <x v="146"/>
    <x v="5"/>
    <x v="0"/>
    <x v="1"/>
    <s v="Vivek"/>
    <n v="24"/>
    <n v="7800"/>
    <n v="5677.12"/>
    <n v="2122.88"/>
    <x v="84"/>
    <n v="4.0999999999999996"/>
    <n v="10"/>
    <x v="1"/>
    <s v="Premium"/>
    <s v="Refunded"/>
    <n v="19.07"/>
    <n v="72.87"/>
    <n v="12549"/>
    <n v="14893"/>
    <n v="11776"/>
    <n v="13355"/>
    <x v="3"/>
  </r>
  <r>
    <n v="1318"/>
    <s v="Starbucks New Delhi"/>
    <s v="India"/>
    <x v="1"/>
    <s v="New Delhi"/>
    <s v="North"/>
    <x v="57"/>
    <x v="2"/>
    <x v="3"/>
    <x v="7"/>
    <s v="Vivek"/>
    <n v="25"/>
    <n v="7750"/>
    <n v="5306.71"/>
    <n v="2443.29"/>
    <x v="188"/>
    <n v="5"/>
    <n v="0"/>
    <x v="0"/>
    <s v="Regular"/>
    <s v="Cancelled"/>
    <n v="28.61"/>
    <n v="77.2"/>
    <n v="12994"/>
    <n v="16463"/>
    <n v="12226"/>
    <n v="13454"/>
    <x v="1"/>
  </r>
  <r>
    <n v="1319"/>
    <s v="Starbucks Mumbai"/>
    <s v="India"/>
    <x v="2"/>
    <s v="Mumbai"/>
    <s v="West"/>
    <x v="107"/>
    <x v="1"/>
    <x v="0"/>
    <x v="5"/>
    <s v="Neha"/>
    <n v="45"/>
    <n v="16560"/>
    <n v="10244.06"/>
    <n v="6315.94"/>
    <x v="39"/>
    <n v="4.8"/>
    <n v="10"/>
    <x v="1"/>
    <s v="Regular"/>
    <s v="Cancelled"/>
    <n v="19.07"/>
    <n v="72.87"/>
    <n v="7361"/>
    <n v="8526"/>
    <n v="6753"/>
    <n v="8164"/>
    <x v="0"/>
  </r>
  <r>
    <n v="1320"/>
    <s v="Starbucks Kochi"/>
    <s v="India"/>
    <x v="4"/>
    <s v="Kochi"/>
    <s v="South"/>
    <x v="80"/>
    <x v="0"/>
    <x v="3"/>
    <x v="7"/>
    <s v="Rahul"/>
    <n v="14"/>
    <n v="5740"/>
    <n v="3662.7"/>
    <n v="2077.3000000000002"/>
    <x v="74"/>
    <n v="4"/>
    <n v="5"/>
    <x v="1"/>
    <s v="Gold"/>
    <s v="Cancelled"/>
    <n v="9.93"/>
    <n v="76.260000000000005"/>
    <n v="7414"/>
    <n v="9389"/>
    <n v="6518"/>
    <n v="7400"/>
    <x v="0"/>
  </r>
  <r>
    <n v="1321"/>
    <s v="Starbucks Bengaluru"/>
    <s v="India"/>
    <x v="0"/>
    <s v="Bengaluru"/>
    <s v="South"/>
    <x v="147"/>
    <x v="2"/>
    <x v="1"/>
    <x v="8"/>
    <s v="Anu"/>
    <n v="49"/>
    <n v="9065"/>
    <n v="6761.03"/>
    <n v="2303.9699999999998"/>
    <x v="31"/>
    <n v="4.7"/>
    <n v="15"/>
    <x v="1"/>
    <s v="Premium"/>
    <s v="Cancelled"/>
    <n v="12.97"/>
    <n v="77.59"/>
    <n v="10322"/>
    <n v="14271"/>
    <n v="9330"/>
    <n v="12221"/>
    <x v="0"/>
  </r>
  <r>
    <n v="1322"/>
    <s v="Starbucks Chennai"/>
    <s v="India"/>
    <x v="3"/>
    <s v="Chennai"/>
    <s v="South"/>
    <x v="109"/>
    <x v="1"/>
    <x v="3"/>
    <x v="6"/>
    <s v="Neha"/>
    <n v="53"/>
    <n v="17119"/>
    <n v="9957.9699999999993"/>
    <n v="7161.03"/>
    <x v="85"/>
    <n v="4.5"/>
    <n v="0"/>
    <x v="0"/>
    <s v="Gold"/>
    <s v="Cancelled"/>
    <n v="13.08"/>
    <n v="80.27"/>
    <n v="9973"/>
    <n v="12075"/>
    <n v="8134"/>
    <n v="10957"/>
    <x v="1"/>
  </r>
  <r>
    <n v="1323"/>
    <s v="Starbucks Bengaluru"/>
    <s v="India"/>
    <x v="0"/>
    <s v="Bengaluru"/>
    <s v="South"/>
    <x v="9"/>
    <x v="3"/>
    <x v="3"/>
    <x v="6"/>
    <s v="Asha"/>
    <n v="52"/>
    <n v="14352"/>
    <n v="10708.31"/>
    <n v="3643.69"/>
    <x v="10"/>
    <n v="4.3"/>
    <n v="5"/>
    <x v="1"/>
    <s v="Regular"/>
    <s v="Completed"/>
    <n v="12.97"/>
    <n v="77.59"/>
    <n v="12019"/>
    <n v="15247"/>
    <n v="11198"/>
    <n v="14522"/>
    <x v="3"/>
  </r>
  <r>
    <n v="1324"/>
    <s v="Starbucks Kochi"/>
    <s v="India"/>
    <x v="4"/>
    <s v="Kochi"/>
    <s v="South"/>
    <x v="101"/>
    <x v="3"/>
    <x v="0"/>
    <x v="5"/>
    <s v="Neha"/>
    <n v="52"/>
    <n v="10296"/>
    <n v="6811.19"/>
    <n v="3484.81"/>
    <x v="25"/>
    <n v="4.8"/>
    <n v="5"/>
    <x v="0"/>
    <s v="Premium"/>
    <s v="Cancelled"/>
    <n v="9.93"/>
    <n v="76.260000000000005"/>
    <n v="13852"/>
    <n v="17089"/>
    <n v="12873"/>
    <n v="14247"/>
    <x v="3"/>
  </r>
  <r>
    <n v="1325"/>
    <s v="Starbucks Kochi"/>
    <s v="India"/>
    <x v="4"/>
    <s v="Kochi"/>
    <s v="South"/>
    <x v="116"/>
    <x v="4"/>
    <x v="3"/>
    <x v="7"/>
    <s v="Asha"/>
    <n v="51"/>
    <n v="10863"/>
    <n v="7314.66"/>
    <n v="3548.34"/>
    <x v="126"/>
    <n v="3.5"/>
    <n v="5"/>
    <x v="0"/>
    <s v="Premium"/>
    <s v="Completed"/>
    <n v="9.93"/>
    <n v="76.260000000000005"/>
    <n v="10221"/>
    <n v="12604"/>
    <n v="9542"/>
    <n v="12570"/>
    <x v="2"/>
  </r>
  <r>
    <n v="1326"/>
    <s v="Starbucks Bengaluru"/>
    <s v="India"/>
    <x v="0"/>
    <s v="Bengaluru"/>
    <s v="South"/>
    <x v="40"/>
    <x v="3"/>
    <x v="3"/>
    <x v="7"/>
    <s v="Vivek"/>
    <n v="24"/>
    <n v="8904"/>
    <n v="6082.62"/>
    <n v="2821.38"/>
    <x v="49"/>
    <n v="4"/>
    <n v="0"/>
    <x v="0"/>
    <s v="Regular"/>
    <s v="Completed"/>
    <n v="12.97"/>
    <n v="77.59"/>
    <n v="10721"/>
    <n v="12315"/>
    <n v="9550"/>
    <n v="11642"/>
    <x v="1"/>
  </r>
  <r>
    <n v="1327"/>
    <s v="Starbucks Bengaluru"/>
    <s v="India"/>
    <x v="0"/>
    <s v="Bengaluru"/>
    <s v="South"/>
    <x v="130"/>
    <x v="4"/>
    <x v="0"/>
    <x v="0"/>
    <s v="Rahul"/>
    <n v="6"/>
    <n v="2136"/>
    <n v="1307.32"/>
    <n v="828.68"/>
    <x v="117"/>
    <n v="4.3"/>
    <n v="0"/>
    <x v="0"/>
    <s v="Gold"/>
    <s v="Refunded"/>
    <n v="12.97"/>
    <n v="77.59"/>
    <n v="9967"/>
    <n v="12651"/>
    <n v="8637"/>
    <n v="12368"/>
    <x v="3"/>
  </r>
  <r>
    <n v="1328"/>
    <s v="Starbucks Bengaluru"/>
    <s v="India"/>
    <x v="0"/>
    <s v="Bengaluru"/>
    <s v="South"/>
    <x v="61"/>
    <x v="1"/>
    <x v="3"/>
    <x v="7"/>
    <s v="Vivek"/>
    <n v="30"/>
    <n v="10410"/>
    <n v="7226.53"/>
    <n v="3183.47"/>
    <x v="48"/>
    <n v="4.9000000000000004"/>
    <n v="10"/>
    <x v="1"/>
    <s v="Gold"/>
    <s v="Refunded"/>
    <n v="12.97"/>
    <n v="77.59"/>
    <n v="6889"/>
    <n v="10006"/>
    <n v="6310"/>
    <n v="9270"/>
    <x v="2"/>
  </r>
  <r>
    <n v="1329"/>
    <s v="Starbucks Bengaluru"/>
    <s v="India"/>
    <x v="0"/>
    <s v="Bengaluru"/>
    <s v="South"/>
    <x v="45"/>
    <x v="3"/>
    <x v="1"/>
    <x v="8"/>
    <s v="Vivek"/>
    <n v="57"/>
    <n v="19437"/>
    <n v="11477.01"/>
    <n v="7959.99"/>
    <x v="164"/>
    <n v="4.4000000000000004"/>
    <n v="15"/>
    <x v="2"/>
    <s v="Gold"/>
    <s v="Refunded"/>
    <n v="12.97"/>
    <n v="77.59"/>
    <n v="14996"/>
    <n v="19394"/>
    <n v="13758"/>
    <n v="14917"/>
    <x v="0"/>
  </r>
  <r>
    <n v="1330"/>
    <s v="Starbucks Chennai"/>
    <s v="India"/>
    <x v="3"/>
    <s v="Chennai"/>
    <s v="South"/>
    <x v="52"/>
    <x v="5"/>
    <x v="0"/>
    <x v="0"/>
    <s v="Neha"/>
    <n v="51"/>
    <n v="18411"/>
    <n v="11622.87"/>
    <n v="6788.13"/>
    <x v="186"/>
    <n v="4.0999999999999996"/>
    <n v="5"/>
    <x v="1"/>
    <s v="Gold"/>
    <s v="Refunded"/>
    <n v="13.08"/>
    <n v="80.27"/>
    <n v="6377"/>
    <n v="10420"/>
    <n v="5740"/>
    <n v="5849"/>
    <x v="1"/>
  </r>
  <r>
    <n v="1331"/>
    <s v="Starbucks New Delhi"/>
    <s v="India"/>
    <x v="1"/>
    <s v="New Delhi"/>
    <s v="North"/>
    <x v="61"/>
    <x v="1"/>
    <x v="1"/>
    <x v="2"/>
    <s v="Neha"/>
    <n v="58"/>
    <n v="23606"/>
    <n v="17040.25"/>
    <n v="6565.75"/>
    <x v="140"/>
    <n v="4.4000000000000004"/>
    <n v="0"/>
    <x v="1"/>
    <s v="Regular"/>
    <s v="Refunded"/>
    <n v="28.61"/>
    <n v="77.2"/>
    <n v="6876"/>
    <n v="11413"/>
    <n v="5890"/>
    <n v="10435"/>
    <x v="0"/>
  </r>
  <r>
    <n v="1332"/>
    <s v="Starbucks Chennai"/>
    <s v="India"/>
    <x v="3"/>
    <s v="Chennai"/>
    <s v="South"/>
    <x v="116"/>
    <x v="4"/>
    <x v="2"/>
    <x v="4"/>
    <s v="Vivek"/>
    <n v="19"/>
    <n v="6935"/>
    <n v="4730.82"/>
    <n v="2204.1799999999998"/>
    <x v="21"/>
    <n v="5"/>
    <n v="15"/>
    <x v="1"/>
    <s v="Gold"/>
    <s v="Cancelled"/>
    <n v="13.08"/>
    <n v="80.27"/>
    <n v="11685"/>
    <n v="13815"/>
    <n v="10643"/>
    <n v="11209"/>
    <x v="2"/>
  </r>
  <r>
    <n v="1333"/>
    <s v="Starbucks Kochi"/>
    <s v="India"/>
    <x v="4"/>
    <s v="Kochi"/>
    <s v="South"/>
    <x v="67"/>
    <x v="0"/>
    <x v="1"/>
    <x v="2"/>
    <s v="Rahul"/>
    <n v="58"/>
    <n v="11832"/>
    <n v="6586.87"/>
    <n v="5245.13"/>
    <x v="190"/>
    <n v="4.5"/>
    <n v="15"/>
    <x v="2"/>
    <s v="Premium"/>
    <s v="Cancelled"/>
    <n v="9.93"/>
    <n v="76.260000000000005"/>
    <n v="8227"/>
    <n v="11199"/>
    <n v="6334"/>
    <n v="9283"/>
    <x v="2"/>
  </r>
  <r>
    <n v="1334"/>
    <s v="Starbucks Kochi"/>
    <s v="India"/>
    <x v="4"/>
    <s v="Kochi"/>
    <s v="South"/>
    <x v="67"/>
    <x v="0"/>
    <x v="2"/>
    <x v="3"/>
    <s v="Vivek"/>
    <n v="59"/>
    <n v="16284"/>
    <n v="10610.68"/>
    <n v="5673.32"/>
    <x v="139"/>
    <n v="4.5"/>
    <n v="15"/>
    <x v="0"/>
    <s v="Regular"/>
    <s v="Completed"/>
    <n v="9.93"/>
    <n v="76.260000000000005"/>
    <n v="10424"/>
    <n v="13073"/>
    <n v="9053"/>
    <n v="10952"/>
    <x v="0"/>
  </r>
  <r>
    <n v="1335"/>
    <s v="Starbucks Chennai"/>
    <s v="India"/>
    <x v="3"/>
    <s v="Chennai"/>
    <s v="South"/>
    <x v="14"/>
    <x v="5"/>
    <x v="0"/>
    <x v="1"/>
    <s v="Rahul"/>
    <n v="52"/>
    <n v="17264"/>
    <n v="11663.65"/>
    <n v="5600.35"/>
    <x v="87"/>
    <n v="3.6"/>
    <n v="5"/>
    <x v="1"/>
    <s v="Premium"/>
    <s v="Refunded"/>
    <n v="13.08"/>
    <n v="80.27"/>
    <n v="12438"/>
    <n v="15939"/>
    <n v="11330"/>
    <n v="14688"/>
    <x v="0"/>
  </r>
  <r>
    <n v="1336"/>
    <s v="Starbucks New Delhi"/>
    <s v="India"/>
    <x v="1"/>
    <s v="New Delhi"/>
    <s v="North"/>
    <x v="148"/>
    <x v="5"/>
    <x v="2"/>
    <x v="4"/>
    <s v="Asha"/>
    <n v="29"/>
    <n v="5336"/>
    <n v="3484.63"/>
    <n v="1851.37"/>
    <x v="191"/>
    <n v="3.6"/>
    <n v="0"/>
    <x v="1"/>
    <s v="Regular"/>
    <s v="Completed"/>
    <n v="28.61"/>
    <n v="77.2"/>
    <n v="6048"/>
    <n v="8185"/>
    <n v="4441"/>
    <n v="6753"/>
    <x v="1"/>
  </r>
  <r>
    <n v="1337"/>
    <s v="Starbucks New Delhi"/>
    <s v="India"/>
    <x v="1"/>
    <s v="New Delhi"/>
    <s v="North"/>
    <x v="132"/>
    <x v="0"/>
    <x v="0"/>
    <x v="1"/>
    <s v="Anu"/>
    <n v="47"/>
    <n v="16967"/>
    <n v="13452.04"/>
    <n v="3514.96"/>
    <x v="154"/>
    <n v="4.7"/>
    <n v="5"/>
    <x v="0"/>
    <s v="Gold"/>
    <s v="Cancelled"/>
    <n v="28.61"/>
    <n v="77.2"/>
    <n v="13794"/>
    <n v="16729"/>
    <n v="11807"/>
    <n v="14303"/>
    <x v="0"/>
  </r>
  <r>
    <n v="1338"/>
    <s v="Starbucks New Delhi"/>
    <s v="India"/>
    <x v="1"/>
    <s v="New Delhi"/>
    <s v="North"/>
    <x v="118"/>
    <x v="0"/>
    <x v="3"/>
    <x v="6"/>
    <s v="Rahul"/>
    <n v="50"/>
    <n v="10050"/>
    <n v="7758.1"/>
    <n v="2291.9"/>
    <x v="62"/>
    <n v="4.8"/>
    <n v="5"/>
    <x v="1"/>
    <s v="Premium"/>
    <s v="Cancelled"/>
    <n v="28.61"/>
    <n v="77.2"/>
    <n v="13452"/>
    <n v="18053"/>
    <n v="11988"/>
    <n v="13403"/>
    <x v="1"/>
  </r>
  <r>
    <n v="1339"/>
    <s v="Starbucks Mumbai"/>
    <s v="India"/>
    <x v="2"/>
    <s v="Mumbai"/>
    <s v="West"/>
    <x v="75"/>
    <x v="4"/>
    <x v="1"/>
    <x v="8"/>
    <s v="Vivek"/>
    <n v="26"/>
    <n v="10322"/>
    <n v="6123.51"/>
    <n v="4198.49"/>
    <x v="57"/>
    <n v="3.9"/>
    <n v="5"/>
    <x v="0"/>
    <s v="Regular"/>
    <s v="Completed"/>
    <n v="19.07"/>
    <n v="72.87"/>
    <n v="14902"/>
    <n v="16875"/>
    <n v="14230"/>
    <n v="15029"/>
    <x v="0"/>
  </r>
  <r>
    <n v="1340"/>
    <s v="Starbucks Mumbai"/>
    <s v="India"/>
    <x v="2"/>
    <s v="Mumbai"/>
    <s v="West"/>
    <x v="145"/>
    <x v="1"/>
    <x v="2"/>
    <x v="4"/>
    <s v="Neha"/>
    <n v="27"/>
    <n v="10530"/>
    <n v="6217.02"/>
    <n v="4312.9799999999996"/>
    <x v="192"/>
    <n v="4"/>
    <n v="5"/>
    <x v="1"/>
    <s v="Gold"/>
    <s v="Completed"/>
    <n v="19.07"/>
    <n v="72.87"/>
    <n v="12618"/>
    <n v="15477"/>
    <n v="11352"/>
    <n v="15058"/>
    <x v="0"/>
  </r>
  <r>
    <n v="1341"/>
    <s v="Starbucks Mumbai"/>
    <s v="India"/>
    <x v="2"/>
    <s v="Mumbai"/>
    <s v="West"/>
    <x v="63"/>
    <x v="4"/>
    <x v="3"/>
    <x v="6"/>
    <s v="Neha"/>
    <n v="7"/>
    <n v="2807"/>
    <n v="1634.03"/>
    <n v="1172.97"/>
    <x v="193"/>
    <n v="4.3"/>
    <n v="10"/>
    <x v="0"/>
    <s v="Regular"/>
    <s v="Refunded"/>
    <n v="19.07"/>
    <n v="72.87"/>
    <n v="5743"/>
    <n v="7039"/>
    <n v="4050"/>
    <n v="4229"/>
    <x v="2"/>
  </r>
  <r>
    <n v="1342"/>
    <s v="Starbucks Mumbai"/>
    <s v="India"/>
    <x v="2"/>
    <s v="Mumbai"/>
    <s v="West"/>
    <x v="79"/>
    <x v="3"/>
    <x v="0"/>
    <x v="5"/>
    <s v="Asha"/>
    <n v="53"/>
    <n v="11448"/>
    <n v="7554.72"/>
    <n v="3893.28"/>
    <x v="142"/>
    <n v="3.8"/>
    <n v="10"/>
    <x v="0"/>
    <s v="Gold"/>
    <s v="Refunded"/>
    <n v="19.07"/>
    <n v="72.87"/>
    <n v="13046"/>
    <n v="14268"/>
    <n v="11784"/>
    <n v="12032"/>
    <x v="2"/>
  </r>
  <r>
    <n v="1343"/>
    <s v="Starbucks Kochi"/>
    <s v="India"/>
    <x v="4"/>
    <s v="Kochi"/>
    <s v="South"/>
    <x v="8"/>
    <x v="5"/>
    <x v="3"/>
    <x v="6"/>
    <s v="Vivek"/>
    <n v="57"/>
    <n v="13053"/>
    <n v="8040.22"/>
    <n v="5012.78"/>
    <x v="109"/>
    <n v="4.3"/>
    <n v="5"/>
    <x v="1"/>
    <s v="Premium"/>
    <s v="Cancelled"/>
    <n v="9.93"/>
    <n v="76.260000000000005"/>
    <n v="5141"/>
    <n v="9070"/>
    <n v="4327"/>
    <n v="5571"/>
    <x v="1"/>
  </r>
  <r>
    <n v="1344"/>
    <s v="Starbucks Chennai"/>
    <s v="India"/>
    <x v="3"/>
    <s v="Chennai"/>
    <s v="South"/>
    <x v="133"/>
    <x v="1"/>
    <x v="3"/>
    <x v="6"/>
    <s v="Anu"/>
    <n v="39"/>
    <n v="9477"/>
    <n v="5404.3"/>
    <n v="4072.7"/>
    <x v="194"/>
    <n v="4.3"/>
    <n v="15"/>
    <x v="1"/>
    <s v="Regular"/>
    <s v="Refunded"/>
    <n v="13.08"/>
    <n v="80.27"/>
    <n v="10295"/>
    <n v="13624"/>
    <n v="9086"/>
    <n v="12503"/>
    <x v="1"/>
  </r>
  <r>
    <n v="1345"/>
    <s v="Starbucks Chennai"/>
    <s v="India"/>
    <x v="3"/>
    <s v="Chennai"/>
    <s v="South"/>
    <x v="30"/>
    <x v="5"/>
    <x v="0"/>
    <x v="1"/>
    <s v="Vivek"/>
    <n v="27"/>
    <n v="7155"/>
    <n v="4582.5200000000004"/>
    <n v="2572.48"/>
    <x v="176"/>
    <n v="3.9"/>
    <n v="5"/>
    <x v="0"/>
    <s v="Regular"/>
    <s v="Completed"/>
    <n v="13.08"/>
    <n v="80.27"/>
    <n v="14884"/>
    <n v="17042"/>
    <n v="13054"/>
    <n v="13835"/>
    <x v="0"/>
  </r>
  <r>
    <n v="1346"/>
    <s v="Starbucks Bengaluru"/>
    <s v="India"/>
    <x v="0"/>
    <s v="Bengaluru"/>
    <s v="South"/>
    <x v="62"/>
    <x v="3"/>
    <x v="2"/>
    <x v="3"/>
    <s v="Asha"/>
    <n v="31"/>
    <n v="10726"/>
    <n v="6879.08"/>
    <n v="3846.92"/>
    <x v="176"/>
    <n v="4.5999999999999996"/>
    <n v="0"/>
    <x v="1"/>
    <s v="Regular"/>
    <s v="Refunded"/>
    <n v="12.97"/>
    <n v="77.59"/>
    <n v="8267"/>
    <n v="12912"/>
    <n v="7688"/>
    <n v="8437"/>
    <x v="2"/>
  </r>
  <r>
    <n v="1347"/>
    <s v="Starbucks Mumbai"/>
    <s v="India"/>
    <x v="2"/>
    <s v="Mumbai"/>
    <s v="West"/>
    <x v="99"/>
    <x v="3"/>
    <x v="2"/>
    <x v="4"/>
    <s v="Vivek"/>
    <n v="53"/>
    <n v="9593"/>
    <n v="6467.5"/>
    <n v="3125.5"/>
    <x v="153"/>
    <n v="3.7"/>
    <n v="15"/>
    <x v="1"/>
    <s v="Premium"/>
    <s v="Refunded"/>
    <n v="19.07"/>
    <n v="72.87"/>
    <n v="5955"/>
    <n v="8202"/>
    <n v="4235"/>
    <n v="6902"/>
    <x v="2"/>
  </r>
  <r>
    <n v="1348"/>
    <s v="Starbucks Bengaluru"/>
    <s v="India"/>
    <x v="0"/>
    <s v="Bengaluru"/>
    <s v="South"/>
    <x v="18"/>
    <x v="1"/>
    <x v="0"/>
    <x v="5"/>
    <s v="Asha"/>
    <n v="32"/>
    <n v="10304"/>
    <n v="7234.09"/>
    <n v="3069.91"/>
    <x v="133"/>
    <n v="4.5999999999999996"/>
    <n v="15"/>
    <x v="0"/>
    <s v="Gold"/>
    <s v="Refunded"/>
    <n v="12.97"/>
    <n v="77.59"/>
    <n v="11704"/>
    <n v="14717"/>
    <n v="10080"/>
    <n v="13699"/>
    <x v="3"/>
  </r>
  <r>
    <n v="1349"/>
    <s v="Starbucks Bengaluru"/>
    <s v="India"/>
    <x v="0"/>
    <s v="Bengaluru"/>
    <s v="South"/>
    <x v="126"/>
    <x v="4"/>
    <x v="3"/>
    <x v="7"/>
    <s v="Asha"/>
    <n v="27"/>
    <n v="10665"/>
    <n v="6062.05"/>
    <n v="4602.95"/>
    <x v="52"/>
    <n v="3.7"/>
    <n v="0"/>
    <x v="0"/>
    <s v="Premium"/>
    <s v="Completed"/>
    <n v="12.97"/>
    <n v="77.59"/>
    <n v="11612"/>
    <n v="16089"/>
    <n v="9772"/>
    <n v="11802"/>
    <x v="1"/>
  </r>
  <r>
    <n v="1350"/>
    <s v="Starbucks New Delhi"/>
    <s v="India"/>
    <x v="1"/>
    <s v="New Delhi"/>
    <s v="North"/>
    <x v="110"/>
    <x v="4"/>
    <x v="1"/>
    <x v="2"/>
    <s v="Asha"/>
    <n v="37"/>
    <n v="13801"/>
    <n v="9691.8700000000008"/>
    <n v="4109.13"/>
    <x v="117"/>
    <n v="3.5"/>
    <n v="10"/>
    <x v="0"/>
    <s v="Gold"/>
    <s v="Cancelled"/>
    <n v="28.61"/>
    <n v="77.2"/>
    <n v="8823"/>
    <n v="12417"/>
    <n v="7581"/>
    <n v="9450"/>
    <x v="2"/>
  </r>
  <r>
    <n v="1351"/>
    <s v="Starbucks New Delhi"/>
    <s v="India"/>
    <x v="1"/>
    <s v="New Delhi"/>
    <s v="North"/>
    <x v="31"/>
    <x v="3"/>
    <x v="3"/>
    <x v="7"/>
    <s v="Neha"/>
    <n v="39"/>
    <n v="15093"/>
    <n v="9055.07"/>
    <n v="6037.93"/>
    <x v="84"/>
    <n v="4.7"/>
    <n v="15"/>
    <x v="0"/>
    <s v="Premium"/>
    <s v="Completed"/>
    <n v="28.61"/>
    <n v="77.2"/>
    <n v="14555"/>
    <n v="18239"/>
    <n v="14045"/>
    <n v="14188"/>
    <x v="0"/>
  </r>
  <r>
    <n v="1352"/>
    <s v="Starbucks Bengaluru"/>
    <s v="India"/>
    <x v="0"/>
    <s v="Bengaluru"/>
    <s v="South"/>
    <x v="1"/>
    <x v="1"/>
    <x v="2"/>
    <x v="4"/>
    <s v="Asha"/>
    <n v="9"/>
    <n v="1935"/>
    <n v="1347.58"/>
    <n v="587.41999999999996"/>
    <x v="195"/>
    <n v="3.6"/>
    <n v="5"/>
    <x v="1"/>
    <s v="Premium"/>
    <s v="Completed"/>
    <n v="12.97"/>
    <n v="77.59"/>
    <n v="7716"/>
    <n v="11794"/>
    <n v="6461"/>
    <n v="8831"/>
    <x v="3"/>
  </r>
  <r>
    <n v="1353"/>
    <s v="Starbucks Kochi"/>
    <s v="India"/>
    <x v="4"/>
    <s v="Kochi"/>
    <s v="South"/>
    <x v="47"/>
    <x v="2"/>
    <x v="3"/>
    <x v="6"/>
    <s v="Neha"/>
    <n v="18"/>
    <n v="7272"/>
    <n v="4876.78"/>
    <n v="2395.2199999999998"/>
    <x v="140"/>
    <n v="3.6"/>
    <n v="5"/>
    <x v="0"/>
    <s v="Gold"/>
    <s v="Cancelled"/>
    <n v="9.93"/>
    <n v="76.260000000000005"/>
    <n v="14392"/>
    <n v="17278"/>
    <n v="13020"/>
    <n v="16534"/>
    <x v="1"/>
  </r>
  <r>
    <n v="1354"/>
    <s v="Starbucks Mumbai"/>
    <s v="India"/>
    <x v="2"/>
    <s v="Mumbai"/>
    <s v="West"/>
    <x v="12"/>
    <x v="4"/>
    <x v="1"/>
    <x v="8"/>
    <s v="Anu"/>
    <n v="33"/>
    <n v="7623"/>
    <n v="5193.59"/>
    <n v="2429.41"/>
    <x v="32"/>
    <n v="3.6"/>
    <n v="0"/>
    <x v="1"/>
    <s v="Gold"/>
    <s v="Completed"/>
    <n v="19.07"/>
    <n v="72.87"/>
    <n v="14913"/>
    <n v="16527"/>
    <n v="13946"/>
    <n v="16012"/>
    <x v="2"/>
  </r>
  <r>
    <n v="1355"/>
    <s v="Starbucks Mumbai"/>
    <s v="India"/>
    <x v="2"/>
    <s v="Mumbai"/>
    <s v="West"/>
    <x v="30"/>
    <x v="5"/>
    <x v="2"/>
    <x v="4"/>
    <s v="Vivek"/>
    <n v="12"/>
    <n v="2784"/>
    <n v="2191"/>
    <n v="593"/>
    <x v="14"/>
    <n v="4.4000000000000004"/>
    <n v="15"/>
    <x v="1"/>
    <s v="Premium"/>
    <s v="Cancelled"/>
    <n v="19.07"/>
    <n v="72.87"/>
    <n v="12783"/>
    <n v="16513"/>
    <n v="12117"/>
    <n v="13740"/>
    <x v="3"/>
  </r>
  <r>
    <n v="1356"/>
    <s v="Starbucks New Delhi"/>
    <s v="India"/>
    <x v="1"/>
    <s v="New Delhi"/>
    <s v="North"/>
    <x v="8"/>
    <x v="5"/>
    <x v="3"/>
    <x v="6"/>
    <s v="Anu"/>
    <n v="38"/>
    <n v="8170"/>
    <n v="6515.04"/>
    <n v="1654.96"/>
    <x v="196"/>
    <n v="4.7"/>
    <n v="0"/>
    <x v="2"/>
    <s v="Gold"/>
    <s v="Cancelled"/>
    <n v="28.61"/>
    <n v="77.2"/>
    <n v="7011"/>
    <n v="11273"/>
    <n v="5623"/>
    <n v="10204"/>
    <x v="1"/>
  </r>
  <r>
    <n v="1357"/>
    <s v="Starbucks Mumbai"/>
    <s v="India"/>
    <x v="2"/>
    <s v="Mumbai"/>
    <s v="West"/>
    <x v="149"/>
    <x v="1"/>
    <x v="1"/>
    <x v="2"/>
    <s v="Anu"/>
    <n v="8"/>
    <n v="1808"/>
    <n v="1178.83"/>
    <n v="629.16999999999996"/>
    <x v="78"/>
    <n v="4.3"/>
    <n v="5"/>
    <x v="2"/>
    <s v="Premium"/>
    <s v="Completed"/>
    <n v="19.07"/>
    <n v="72.87"/>
    <n v="5818"/>
    <n v="8478"/>
    <n v="5003"/>
    <n v="5048"/>
    <x v="0"/>
  </r>
  <r>
    <n v="1358"/>
    <s v="Starbucks Mumbai"/>
    <s v="India"/>
    <x v="2"/>
    <s v="Mumbai"/>
    <s v="West"/>
    <x v="16"/>
    <x v="0"/>
    <x v="3"/>
    <x v="6"/>
    <s v="Anu"/>
    <n v="50"/>
    <n v="18000"/>
    <n v="13664.07"/>
    <n v="4335.93"/>
    <x v="197"/>
    <n v="4.2"/>
    <n v="5"/>
    <x v="1"/>
    <s v="Premium"/>
    <s v="Cancelled"/>
    <n v="19.07"/>
    <n v="72.87"/>
    <n v="13502"/>
    <n v="16069"/>
    <n v="11733"/>
    <n v="12074"/>
    <x v="0"/>
  </r>
  <r>
    <n v="1359"/>
    <s v="Starbucks Kochi"/>
    <s v="India"/>
    <x v="4"/>
    <s v="Kochi"/>
    <s v="South"/>
    <x v="93"/>
    <x v="4"/>
    <x v="0"/>
    <x v="1"/>
    <s v="Rahul"/>
    <n v="58"/>
    <n v="14964"/>
    <n v="8827.9699999999993"/>
    <n v="6136.03"/>
    <x v="198"/>
    <n v="3.6"/>
    <n v="0"/>
    <x v="0"/>
    <s v="Gold"/>
    <s v="Cancelled"/>
    <n v="9.93"/>
    <n v="76.260000000000005"/>
    <n v="5857"/>
    <n v="7583"/>
    <n v="3964"/>
    <n v="5117"/>
    <x v="3"/>
  </r>
  <r>
    <n v="1360"/>
    <s v="Starbucks Kochi"/>
    <s v="India"/>
    <x v="4"/>
    <s v="Kochi"/>
    <s v="South"/>
    <x v="13"/>
    <x v="4"/>
    <x v="3"/>
    <x v="7"/>
    <s v="Asha"/>
    <n v="50"/>
    <n v="10450"/>
    <n v="6809.99"/>
    <n v="3640.01"/>
    <x v="119"/>
    <n v="3.8"/>
    <n v="5"/>
    <x v="0"/>
    <s v="Premium"/>
    <s v="Refunded"/>
    <n v="9.93"/>
    <n v="76.260000000000005"/>
    <n v="5760"/>
    <n v="8801"/>
    <n v="3791"/>
    <n v="8729"/>
    <x v="0"/>
  </r>
  <r>
    <n v="1361"/>
    <s v="Starbucks Kochi"/>
    <s v="India"/>
    <x v="4"/>
    <s v="Kochi"/>
    <s v="South"/>
    <x v="123"/>
    <x v="4"/>
    <x v="1"/>
    <x v="2"/>
    <s v="Neha"/>
    <n v="55"/>
    <n v="14080"/>
    <n v="10128.09"/>
    <n v="3951.91"/>
    <x v="66"/>
    <n v="4.8"/>
    <n v="0"/>
    <x v="2"/>
    <s v="Premium"/>
    <s v="Refunded"/>
    <n v="9.93"/>
    <n v="76.260000000000005"/>
    <n v="12600"/>
    <n v="14232"/>
    <n v="11426"/>
    <n v="12841"/>
    <x v="1"/>
  </r>
  <r>
    <n v="1362"/>
    <s v="Starbucks Kochi"/>
    <s v="India"/>
    <x v="4"/>
    <s v="Kochi"/>
    <s v="South"/>
    <x v="136"/>
    <x v="1"/>
    <x v="2"/>
    <x v="3"/>
    <s v="Asha"/>
    <n v="16"/>
    <n v="4000"/>
    <n v="2299.17"/>
    <n v="1700.83"/>
    <x v="66"/>
    <n v="4.5"/>
    <n v="0"/>
    <x v="2"/>
    <s v="Gold"/>
    <s v="Refunded"/>
    <n v="9.93"/>
    <n v="76.260000000000005"/>
    <n v="13554"/>
    <n v="17945"/>
    <n v="12747"/>
    <n v="16485"/>
    <x v="3"/>
  </r>
  <r>
    <n v="1363"/>
    <s v="Starbucks Chennai"/>
    <s v="India"/>
    <x v="3"/>
    <s v="Chennai"/>
    <s v="South"/>
    <x v="51"/>
    <x v="2"/>
    <x v="3"/>
    <x v="7"/>
    <s v="Neha"/>
    <n v="45"/>
    <n v="12240"/>
    <n v="7460.58"/>
    <n v="4779.42"/>
    <x v="199"/>
    <n v="3.6"/>
    <n v="5"/>
    <x v="2"/>
    <s v="Regular"/>
    <s v="Refunded"/>
    <n v="13.08"/>
    <n v="80.27"/>
    <n v="10451"/>
    <n v="14832"/>
    <n v="9508"/>
    <n v="13239"/>
    <x v="3"/>
  </r>
  <r>
    <n v="1364"/>
    <s v="Starbucks New Delhi"/>
    <s v="India"/>
    <x v="1"/>
    <s v="New Delhi"/>
    <s v="North"/>
    <x v="116"/>
    <x v="4"/>
    <x v="3"/>
    <x v="7"/>
    <s v="Neha"/>
    <n v="41"/>
    <n v="12177"/>
    <n v="8017.9"/>
    <n v="4159.1000000000004"/>
    <x v="66"/>
    <n v="4.5999999999999996"/>
    <n v="10"/>
    <x v="0"/>
    <s v="Premium"/>
    <s v="Completed"/>
    <n v="28.61"/>
    <n v="77.2"/>
    <n v="14188"/>
    <n v="18378"/>
    <n v="12305"/>
    <n v="13118"/>
    <x v="1"/>
  </r>
  <r>
    <n v="1365"/>
    <s v="Starbucks Kochi"/>
    <s v="India"/>
    <x v="4"/>
    <s v="Kochi"/>
    <s v="South"/>
    <x v="106"/>
    <x v="1"/>
    <x v="0"/>
    <x v="0"/>
    <s v="Neha"/>
    <n v="27"/>
    <n v="9504"/>
    <n v="6024.36"/>
    <n v="3479.64"/>
    <x v="198"/>
    <n v="3.9"/>
    <n v="5"/>
    <x v="0"/>
    <s v="Premium"/>
    <s v="Cancelled"/>
    <n v="9.93"/>
    <n v="76.260000000000005"/>
    <n v="14617"/>
    <n v="19517"/>
    <n v="13668"/>
    <n v="13739"/>
    <x v="0"/>
  </r>
  <r>
    <n v="1366"/>
    <s v="Starbucks Bengaluru"/>
    <s v="India"/>
    <x v="0"/>
    <s v="Bengaluru"/>
    <s v="South"/>
    <x v="99"/>
    <x v="3"/>
    <x v="3"/>
    <x v="7"/>
    <s v="Neha"/>
    <n v="56"/>
    <n v="17920"/>
    <n v="13469.65"/>
    <n v="4450.3500000000004"/>
    <x v="45"/>
    <n v="5"/>
    <n v="15"/>
    <x v="1"/>
    <s v="Premium"/>
    <s v="Cancelled"/>
    <n v="12.97"/>
    <n v="77.59"/>
    <n v="13733"/>
    <n v="18676"/>
    <n v="12529"/>
    <n v="12700"/>
    <x v="0"/>
  </r>
  <r>
    <n v="1367"/>
    <s v="Starbucks Mumbai"/>
    <s v="India"/>
    <x v="2"/>
    <s v="Mumbai"/>
    <s v="West"/>
    <x v="88"/>
    <x v="2"/>
    <x v="3"/>
    <x v="6"/>
    <s v="Vivek"/>
    <n v="40"/>
    <n v="13240"/>
    <n v="8973.41"/>
    <n v="4266.59"/>
    <x v="113"/>
    <n v="4.3"/>
    <n v="10"/>
    <x v="2"/>
    <s v="Regular"/>
    <s v="Refunded"/>
    <n v="19.07"/>
    <n v="72.87"/>
    <n v="7438"/>
    <n v="9288"/>
    <n v="6306"/>
    <n v="7404"/>
    <x v="3"/>
  </r>
  <r>
    <n v="1368"/>
    <s v="Starbucks Kochi"/>
    <s v="India"/>
    <x v="4"/>
    <s v="Kochi"/>
    <s v="South"/>
    <x v="62"/>
    <x v="3"/>
    <x v="3"/>
    <x v="6"/>
    <s v="Rahul"/>
    <n v="34"/>
    <n v="10132"/>
    <n v="7984.72"/>
    <n v="2147.2800000000002"/>
    <x v="15"/>
    <n v="4"/>
    <n v="15"/>
    <x v="2"/>
    <s v="Gold"/>
    <s v="Completed"/>
    <n v="9.93"/>
    <n v="76.260000000000005"/>
    <n v="14217"/>
    <n v="16894"/>
    <n v="12459"/>
    <n v="13117"/>
    <x v="2"/>
  </r>
  <r>
    <n v="1369"/>
    <s v="Starbucks Mumbai"/>
    <s v="India"/>
    <x v="2"/>
    <s v="Mumbai"/>
    <s v="West"/>
    <x v="118"/>
    <x v="0"/>
    <x v="2"/>
    <x v="3"/>
    <s v="Asha"/>
    <n v="58"/>
    <n v="15950"/>
    <n v="9156.0300000000007"/>
    <n v="6793.97"/>
    <x v="200"/>
    <n v="4.2"/>
    <n v="10"/>
    <x v="1"/>
    <s v="Gold"/>
    <s v="Cancelled"/>
    <n v="19.07"/>
    <n v="72.87"/>
    <n v="5292"/>
    <n v="7574"/>
    <n v="4291"/>
    <n v="5711"/>
    <x v="0"/>
  </r>
  <r>
    <n v="1370"/>
    <s v="Starbucks Mumbai"/>
    <s v="India"/>
    <x v="2"/>
    <s v="Mumbai"/>
    <s v="West"/>
    <x v="150"/>
    <x v="1"/>
    <x v="3"/>
    <x v="7"/>
    <s v="Neha"/>
    <n v="24"/>
    <n v="7272"/>
    <n v="4518.5200000000004"/>
    <n v="2753.48"/>
    <x v="122"/>
    <n v="4.9000000000000004"/>
    <n v="0"/>
    <x v="0"/>
    <s v="Gold"/>
    <s v="Refunded"/>
    <n v="19.07"/>
    <n v="72.87"/>
    <n v="9162"/>
    <n v="12034"/>
    <n v="7856"/>
    <n v="9623"/>
    <x v="2"/>
  </r>
  <r>
    <n v="1371"/>
    <s v="Starbucks Chennai"/>
    <s v="India"/>
    <x v="3"/>
    <s v="Chennai"/>
    <s v="South"/>
    <x v="73"/>
    <x v="5"/>
    <x v="1"/>
    <x v="8"/>
    <s v="Rahul"/>
    <n v="19"/>
    <n v="5415"/>
    <n v="4216.99"/>
    <n v="1198.01"/>
    <x v="175"/>
    <n v="3.9"/>
    <n v="5"/>
    <x v="2"/>
    <s v="Regular"/>
    <s v="Completed"/>
    <n v="13.08"/>
    <n v="80.27"/>
    <n v="11346"/>
    <n v="13204"/>
    <n v="10117"/>
    <n v="12493"/>
    <x v="1"/>
  </r>
  <r>
    <n v="1372"/>
    <s v="Starbucks Mumbai"/>
    <s v="India"/>
    <x v="2"/>
    <s v="Mumbai"/>
    <s v="West"/>
    <x v="116"/>
    <x v="4"/>
    <x v="0"/>
    <x v="0"/>
    <s v="Rahul"/>
    <n v="45"/>
    <n v="17775"/>
    <n v="11780.27"/>
    <n v="5994.73"/>
    <x v="46"/>
    <n v="4.9000000000000004"/>
    <n v="0"/>
    <x v="1"/>
    <s v="Regular"/>
    <s v="Cancelled"/>
    <n v="19.07"/>
    <n v="72.87"/>
    <n v="7987"/>
    <n v="9007"/>
    <n v="7116"/>
    <n v="7162"/>
    <x v="1"/>
  </r>
  <r>
    <n v="1373"/>
    <s v="Starbucks Kochi"/>
    <s v="India"/>
    <x v="4"/>
    <s v="Kochi"/>
    <s v="South"/>
    <x v="151"/>
    <x v="2"/>
    <x v="3"/>
    <x v="6"/>
    <s v="Neha"/>
    <n v="13"/>
    <n v="4537"/>
    <n v="3008.48"/>
    <n v="1528.52"/>
    <x v="152"/>
    <n v="4.7"/>
    <n v="15"/>
    <x v="2"/>
    <s v="Gold"/>
    <s v="Completed"/>
    <n v="9.93"/>
    <n v="76.260000000000005"/>
    <n v="10434"/>
    <n v="14406"/>
    <n v="9731"/>
    <n v="10585"/>
    <x v="1"/>
  </r>
  <r>
    <n v="1374"/>
    <s v="Starbucks Chennai"/>
    <s v="India"/>
    <x v="3"/>
    <s v="Chennai"/>
    <s v="South"/>
    <x v="104"/>
    <x v="2"/>
    <x v="1"/>
    <x v="2"/>
    <s v="Neha"/>
    <n v="11"/>
    <n v="2332"/>
    <n v="1641.49"/>
    <n v="690.51"/>
    <x v="117"/>
    <n v="4.5999999999999996"/>
    <n v="0"/>
    <x v="0"/>
    <s v="Premium"/>
    <s v="Refunded"/>
    <n v="13.08"/>
    <n v="80.27"/>
    <n v="6467"/>
    <n v="8266"/>
    <n v="5042"/>
    <n v="6439"/>
    <x v="0"/>
  </r>
  <r>
    <n v="1375"/>
    <s v="Starbucks Kochi"/>
    <s v="India"/>
    <x v="4"/>
    <s v="Kochi"/>
    <s v="South"/>
    <x v="47"/>
    <x v="2"/>
    <x v="2"/>
    <x v="4"/>
    <s v="Anu"/>
    <n v="47"/>
    <n v="13630"/>
    <n v="7809.25"/>
    <n v="5820.75"/>
    <x v="128"/>
    <n v="3.8"/>
    <n v="0"/>
    <x v="2"/>
    <s v="Gold"/>
    <s v="Completed"/>
    <n v="9.93"/>
    <n v="76.260000000000005"/>
    <n v="12105"/>
    <n v="16606"/>
    <n v="11571"/>
    <n v="12308"/>
    <x v="3"/>
  </r>
  <r>
    <n v="1376"/>
    <s v="Starbucks Kochi"/>
    <s v="India"/>
    <x v="4"/>
    <s v="Kochi"/>
    <s v="South"/>
    <x v="118"/>
    <x v="0"/>
    <x v="1"/>
    <x v="2"/>
    <s v="Rahul"/>
    <n v="33"/>
    <n v="6303"/>
    <n v="4844.53"/>
    <n v="1458.47"/>
    <x v="8"/>
    <n v="3.6"/>
    <n v="10"/>
    <x v="0"/>
    <s v="Gold"/>
    <s v="Cancelled"/>
    <n v="9.93"/>
    <n v="76.260000000000005"/>
    <n v="12545"/>
    <n v="16751"/>
    <n v="10786"/>
    <n v="13244"/>
    <x v="2"/>
  </r>
  <r>
    <n v="1377"/>
    <s v="Starbucks New Delhi"/>
    <s v="India"/>
    <x v="1"/>
    <s v="New Delhi"/>
    <s v="North"/>
    <x v="73"/>
    <x v="5"/>
    <x v="3"/>
    <x v="7"/>
    <s v="Vivek"/>
    <n v="30"/>
    <n v="5940"/>
    <n v="4361.74"/>
    <n v="1578.26"/>
    <x v="74"/>
    <n v="4.8"/>
    <n v="10"/>
    <x v="0"/>
    <s v="Regular"/>
    <s v="Cancelled"/>
    <n v="28.61"/>
    <n v="77.2"/>
    <n v="8350"/>
    <n v="12070"/>
    <n v="6634"/>
    <n v="7519"/>
    <x v="2"/>
  </r>
  <r>
    <n v="1378"/>
    <s v="Starbucks Kochi"/>
    <s v="India"/>
    <x v="4"/>
    <s v="Kochi"/>
    <s v="South"/>
    <x v="85"/>
    <x v="3"/>
    <x v="3"/>
    <x v="6"/>
    <s v="Neha"/>
    <n v="10"/>
    <n v="1920"/>
    <n v="1311.17"/>
    <n v="608.83000000000004"/>
    <x v="139"/>
    <n v="4.5999999999999996"/>
    <n v="10"/>
    <x v="1"/>
    <s v="Premium"/>
    <s v="Refunded"/>
    <n v="9.93"/>
    <n v="76.260000000000005"/>
    <n v="9898"/>
    <n v="13080"/>
    <n v="9022"/>
    <n v="12453"/>
    <x v="3"/>
  </r>
  <r>
    <n v="1379"/>
    <s v="Starbucks Kochi"/>
    <s v="India"/>
    <x v="4"/>
    <s v="Kochi"/>
    <s v="South"/>
    <x v="20"/>
    <x v="0"/>
    <x v="3"/>
    <x v="6"/>
    <s v="Asha"/>
    <n v="60"/>
    <n v="12660"/>
    <n v="7815.36"/>
    <n v="4844.6400000000003"/>
    <x v="201"/>
    <n v="4.5"/>
    <n v="10"/>
    <x v="2"/>
    <s v="Gold"/>
    <s v="Refunded"/>
    <n v="9.93"/>
    <n v="76.260000000000005"/>
    <n v="8303"/>
    <n v="12442"/>
    <n v="7013"/>
    <n v="9047"/>
    <x v="3"/>
  </r>
  <r>
    <n v="1380"/>
    <s v="Starbucks Mumbai"/>
    <s v="India"/>
    <x v="2"/>
    <s v="Mumbai"/>
    <s v="West"/>
    <x v="77"/>
    <x v="0"/>
    <x v="0"/>
    <x v="1"/>
    <s v="Asha"/>
    <n v="25"/>
    <n v="9700"/>
    <n v="6366.52"/>
    <n v="3333.48"/>
    <x v="73"/>
    <n v="4.2"/>
    <n v="5"/>
    <x v="2"/>
    <s v="Gold"/>
    <s v="Cancelled"/>
    <n v="19.07"/>
    <n v="72.87"/>
    <n v="5442"/>
    <n v="10105"/>
    <n v="4491"/>
    <n v="5956"/>
    <x v="1"/>
  </r>
  <r>
    <n v="1381"/>
    <s v="Starbucks Mumbai"/>
    <s v="India"/>
    <x v="2"/>
    <s v="Mumbai"/>
    <s v="West"/>
    <x v="135"/>
    <x v="0"/>
    <x v="0"/>
    <x v="5"/>
    <s v="Asha"/>
    <n v="52"/>
    <n v="18148"/>
    <n v="10978.47"/>
    <n v="7169.53"/>
    <x v="115"/>
    <n v="4.5"/>
    <n v="5"/>
    <x v="0"/>
    <s v="Gold"/>
    <s v="Completed"/>
    <n v="19.07"/>
    <n v="72.87"/>
    <n v="5493"/>
    <n v="10102"/>
    <n v="3621"/>
    <n v="6382"/>
    <x v="3"/>
  </r>
  <r>
    <n v="1382"/>
    <s v="Starbucks Bengaluru"/>
    <s v="India"/>
    <x v="0"/>
    <s v="Bengaluru"/>
    <s v="South"/>
    <x v="152"/>
    <x v="2"/>
    <x v="1"/>
    <x v="2"/>
    <s v="Anu"/>
    <n v="5"/>
    <n v="1665"/>
    <n v="965.67"/>
    <n v="699.33"/>
    <x v="70"/>
    <n v="4.5999999999999996"/>
    <n v="15"/>
    <x v="2"/>
    <s v="Gold"/>
    <s v="Completed"/>
    <n v="12.97"/>
    <n v="77.59"/>
    <n v="6448"/>
    <n v="10621"/>
    <n v="5422"/>
    <n v="8537"/>
    <x v="3"/>
  </r>
  <r>
    <n v="1383"/>
    <s v="Starbucks New Delhi"/>
    <s v="India"/>
    <x v="1"/>
    <s v="New Delhi"/>
    <s v="North"/>
    <x v="84"/>
    <x v="5"/>
    <x v="1"/>
    <x v="2"/>
    <s v="Asha"/>
    <n v="59"/>
    <n v="16815"/>
    <n v="10668.69"/>
    <n v="6146.31"/>
    <x v="76"/>
    <n v="4.2"/>
    <n v="15"/>
    <x v="1"/>
    <s v="Gold"/>
    <s v="Completed"/>
    <n v="28.61"/>
    <n v="77.2"/>
    <n v="5455"/>
    <n v="7403"/>
    <n v="4063"/>
    <n v="7034"/>
    <x v="3"/>
  </r>
  <r>
    <n v="1384"/>
    <s v="Starbucks Mumbai"/>
    <s v="India"/>
    <x v="2"/>
    <s v="Mumbai"/>
    <s v="West"/>
    <x v="16"/>
    <x v="0"/>
    <x v="0"/>
    <x v="0"/>
    <s v="Anu"/>
    <n v="28"/>
    <n v="10500"/>
    <n v="8270.2199999999993"/>
    <n v="2229.7800000000002"/>
    <x v="28"/>
    <n v="4.9000000000000004"/>
    <n v="5"/>
    <x v="2"/>
    <s v="Regular"/>
    <s v="Refunded"/>
    <n v="19.07"/>
    <n v="72.87"/>
    <n v="7205"/>
    <n v="10984"/>
    <n v="5939"/>
    <n v="9675"/>
    <x v="1"/>
  </r>
  <r>
    <n v="1385"/>
    <s v="Starbucks New Delhi"/>
    <s v="India"/>
    <x v="1"/>
    <s v="New Delhi"/>
    <s v="North"/>
    <x v="130"/>
    <x v="4"/>
    <x v="1"/>
    <x v="2"/>
    <s v="Neha"/>
    <n v="5"/>
    <n v="1045"/>
    <n v="826.94"/>
    <n v="218.06"/>
    <x v="140"/>
    <n v="4.5"/>
    <n v="5"/>
    <x v="0"/>
    <s v="Premium"/>
    <s v="Completed"/>
    <n v="28.61"/>
    <n v="77.2"/>
    <n v="11149"/>
    <n v="15998"/>
    <n v="10243"/>
    <n v="13545"/>
    <x v="2"/>
  </r>
  <r>
    <n v="1386"/>
    <s v="Starbucks Kochi"/>
    <s v="India"/>
    <x v="4"/>
    <s v="Kochi"/>
    <s v="South"/>
    <x v="130"/>
    <x v="4"/>
    <x v="2"/>
    <x v="4"/>
    <s v="Vivek"/>
    <n v="39"/>
    <n v="12948"/>
    <n v="9945.1"/>
    <n v="3002.9"/>
    <x v="202"/>
    <n v="3.7"/>
    <n v="10"/>
    <x v="2"/>
    <s v="Premium"/>
    <s v="Completed"/>
    <n v="9.93"/>
    <n v="76.260000000000005"/>
    <n v="13077"/>
    <n v="16081"/>
    <n v="11187"/>
    <n v="11841"/>
    <x v="1"/>
  </r>
  <r>
    <n v="1387"/>
    <s v="Starbucks Chennai"/>
    <s v="India"/>
    <x v="3"/>
    <s v="Chennai"/>
    <s v="South"/>
    <x v="83"/>
    <x v="0"/>
    <x v="0"/>
    <x v="5"/>
    <s v="Asha"/>
    <n v="21"/>
    <n v="7308"/>
    <n v="4509.84"/>
    <n v="2798.16"/>
    <x v="54"/>
    <n v="4.3"/>
    <n v="15"/>
    <x v="0"/>
    <s v="Regular"/>
    <s v="Refunded"/>
    <n v="13.08"/>
    <n v="80.27"/>
    <n v="8229"/>
    <n v="12928"/>
    <n v="7651"/>
    <n v="10967"/>
    <x v="1"/>
  </r>
  <r>
    <n v="1388"/>
    <s v="Starbucks Kochi"/>
    <s v="India"/>
    <x v="4"/>
    <s v="Kochi"/>
    <s v="South"/>
    <x v="153"/>
    <x v="5"/>
    <x v="3"/>
    <x v="6"/>
    <s v="Neha"/>
    <n v="39"/>
    <n v="11076"/>
    <n v="7003.41"/>
    <n v="4072.59"/>
    <x v="179"/>
    <n v="4.3"/>
    <n v="10"/>
    <x v="2"/>
    <s v="Regular"/>
    <s v="Completed"/>
    <n v="9.93"/>
    <n v="76.260000000000005"/>
    <n v="6893"/>
    <n v="10700"/>
    <n v="6324"/>
    <n v="9549"/>
    <x v="0"/>
  </r>
  <r>
    <n v="1389"/>
    <s v="Starbucks New Delhi"/>
    <s v="India"/>
    <x v="1"/>
    <s v="New Delhi"/>
    <s v="North"/>
    <x v="16"/>
    <x v="0"/>
    <x v="1"/>
    <x v="8"/>
    <s v="Asha"/>
    <n v="46"/>
    <n v="12190"/>
    <n v="6774.96"/>
    <n v="5415.04"/>
    <x v="125"/>
    <n v="4.9000000000000004"/>
    <n v="15"/>
    <x v="0"/>
    <s v="Premium"/>
    <s v="Completed"/>
    <n v="28.61"/>
    <n v="77.2"/>
    <n v="8976"/>
    <n v="11964"/>
    <n v="7319"/>
    <n v="9624"/>
    <x v="0"/>
  </r>
  <r>
    <n v="1390"/>
    <s v="Starbucks Kochi"/>
    <s v="India"/>
    <x v="4"/>
    <s v="Kochi"/>
    <s v="South"/>
    <x v="154"/>
    <x v="5"/>
    <x v="2"/>
    <x v="4"/>
    <s v="Rahul"/>
    <n v="14"/>
    <n v="5754"/>
    <n v="3822.61"/>
    <n v="1931.39"/>
    <x v="155"/>
    <n v="4.4000000000000004"/>
    <n v="15"/>
    <x v="2"/>
    <s v="Premium"/>
    <s v="Refunded"/>
    <n v="9.93"/>
    <n v="76.260000000000005"/>
    <n v="7120"/>
    <n v="10624"/>
    <n v="6295"/>
    <n v="9221"/>
    <x v="1"/>
  </r>
  <r>
    <n v="1391"/>
    <s v="Starbucks Mumbai"/>
    <s v="India"/>
    <x v="2"/>
    <s v="Mumbai"/>
    <s v="West"/>
    <x v="65"/>
    <x v="3"/>
    <x v="2"/>
    <x v="3"/>
    <s v="Anu"/>
    <n v="19"/>
    <n v="3667"/>
    <n v="2172.4499999999998"/>
    <n v="1494.55"/>
    <x v="194"/>
    <n v="4.3"/>
    <n v="15"/>
    <x v="0"/>
    <s v="Gold"/>
    <s v="Refunded"/>
    <n v="19.07"/>
    <n v="72.87"/>
    <n v="8668"/>
    <n v="13503"/>
    <n v="6809"/>
    <n v="9905"/>
    <x v="3"/>
  </r>
  <r>
    <n v="1392"/>
    <s v="Starbucks Kochi"/>
    <s v="India"/>
    <x v="4"/>
    <s v="Kochi"/>
    <s v="South"/>
    <x v="85"/>
    <x v="3"/>
    <x v="0"/>
    <x v="0"/>
    <s v="Asha"/>
    <n v="26"/>
    <n v="9412"/>
    <n v="7306.98"/>
    <n v="2105.02"/>
    <x v="203"/>
    <n v="3.8"/>
    <n v="5"/>
    <x v="1"/>
    <s v="Regular"/>
    <s v="Refunded"/>
    <n v="9.93"/>
    <n v="76.260000000000005"/>
    <n v="12012"/>
    <n v="13548"/>
    <n v="10224"/>
    <n v="11524"/>
    <x v="1"/>
  </r>
  <r>
    <n v="1393"/>
    <s v="Starbucks Mumbai"/>
    <s v="India"/>
    <x v="2"/>
    <s v="Mumbai"/>
    <s v="West"/>
    <x v="138"/>
    <x v="4"/>
    <x v="0"/>
    <x v="1"/>
    <s v="Rahul"/>
    <n v="25"/>
    <n v="8925"/>
    <n v="5172.4399999999996"/>
    <n v="3752.56"/>
    <x v="191"/>
    <n v="4.8"/>
    <n v="10"/>
    <x v="2"/>
    <s v="Premium"/>
    <s v="Refunded"/>
    <n v="19.07"/>
    <n v="72.87"/>
    <n v="6938"/>
    <n v="11407"/>
    <n v="5107"/>
    <n v="10734"/>
    <x v="2"/>
  </r>
  <r>
    <n v="1394"/>
    <s v="Starbucks Chennai"/>
    <s v="India"/>
    <x v="3"/>
    <s v="Chennai"/>
    <s v="South"/>
    <x v="102"/>
    <x v="4"/>
    <x v="2"/>
    <x v="3"/>
    <s v="Neha"/>
    <n v="14"/>
    <n v="3864"/>
    <n v="2198.02"/>
    <n v="1665.98"/>
    <x v="166"/>
    <n v="4.5"/>
    <n v="0"/>
    <x v="1"/>
    <s v="Regular"/>
    <s v="Completed"/>
    <n v="13.08"/>
    <n v="80.27"/>
    <n v="12023"/>
    <n v="16530"/>
    <n v="10771"/>
    <n v="12351"/>
    <x v="3"/>
  </r>
  <r>
    <n v="1395"/>
    <s v="Starbucks Mumbai"/>
    <s v="India"/>
    <x v="2"/>
    <s v="Mumbai"/>
    <s v="West"/>
    <x v="96"/>
    <x v="1"/>
    <x v="1"/>
    <x v="8"/>
    <s v="Asha"/>
    <n v="12"/>
    <n v="4116"/>
    <n v="3000.18"/>
    <n v="1115.82"/>
    <x v="136"/>
    <n v="4.0999999999999996"/>
    <n v="5"/>
    <x v="1"/>
    <s v="Premium"/>
    <s v="Cancelled"/>
    <n v="19.07"/>
    <n v="72.87"/>
    <n v="8064"/>
    <n v="12017"/>
    <n v="6948"/>
    <n v="7361"/>
    <x v="2"/>
  </r>
  <r>
    <n v="1396"/>
    <s v="Starbucks Chennai"/>
    <s v="India"/>
    <x v="3"/>
    <s v="Chennai"/>
    <s v="South"/>
    <x v="11"/>
    <x v="0"/>
    <x v="2"/>
    <x v="4"/>
    <s v="Neha"/>
    <n v="27"/>
    <n v="8343"/>
    <n v="6551.57"/>
    <n v="1791.43"/>
    <x v="204"/>
    <n v="3.8"/>
    <n v="10"/>
    <x v="2"/>
    <s v="Regular"/>
    <s v="Completed"/>
    <n v="13.08"/>
    <n v="80.27"/>
    <n v="5164"/>
    <n v="9379"/>
    <n v="4255"/>
    <n v="6064"/>
    <x v="1"/>
  </r>
  <r>
    <n v="1397"/>
    <s v="Starbucks Mumbai"/>
    <s v="India"/>
    <x v="2"/>
    <s v="Mumbai"/>
    <s v="West"/>
    <x v="28"/>
    <x v="2"/>
    <x v="2"/>
    <x v="3"/>
    <s v="Neha"/>
    <n v="20"/>
    <n v="7520"/>
    <n v="5863.08"/>
    <n v="1656.92"/>
    <x v="186"/>
    <n v="4.8"/>
    <n v="10"/>
    <x v="0"/>
    <s v="Premium"/>
    <s v="Cancelled"/>
    <n v="19.07"/>
    <n v="72.87"/>
    <n v="8085"/>
    <n v="10809"/>
    <n v="7162"/>
    <n v="10760"/>
    <x v="3"/>
  </r>
  <r>
    <n v="1398"/>
    <s v="Starbucks Kochi"/>
    <s v="India"/>
    <x v="4"/>
    <s v="Kochi"/>
    <s v="South"/>
    <x v="135"/>
    <x v="0"/>
    <x v="2"/>
    <x v="4"/>
    <s v="Asha"/>
    <n v="58"/>
    <n v="22620"/>
    <n v="15440.57"/>
    <n v="7179.43"/>
    <x v="145"/>
    <n v="3.8"/>
    <n v="10"/>
    <x v="1"/>
    <s v="Gold"/>
    <s v="Cancelled"/>
    <n v="9.93"/>
    <n v="76.260000000000005"/>
    <n v="8571"/>
    <n v="12937"/>
    <n v="7684"/>
    <n v="11875"/>
    <x v="1"/>
  </r>
  <r>
    <n v="1399"/>
    <s v="Starbucks Mumbai"/>
    <s v="India"/>
    <x v="2"/>
    <s v="Mumbai"/>
    <s v="West"/>
    <x v="40"/>
    <x v="3"/>
    <x v="0"/>
    <x v="1"/>
    <s v="Asha"/>
    <n v="52"/>
    <n v="20436"/>
    <n v="16164.45"/>
    <n v="4271.55"/>
    <x v="205"/>
    <n v="4.4000000000000004"/>
    <n v="15"/>
    <x v="2"/>
    <s v="Regular"/>
    <s v="Cancelled"/>
    <n v="19.07"/>
    <n v="72.87"/>
    <n v="11121"/>
    <n v="12484"/>
    <n v="9446"/>
    <n v="11398"/>
    <x v="2"/>
  </r>
  <r>
    <n v="1400"/>
    <s v="Starbucks Bengaluru"/>
    <s v="India"/>
    <x v="0"/>
    <s v="Bengaluru"/>
    <s v="South"/>
    <x v="42"/>
    <x v="3"/>
    <x v="0"/>
    <x v="1"/>
    <s v="Rahul"/>
    <n v="7"/>
    <n v="2891"/>
    <n v="2308.63"/>
    <n v="582.37"/>
    <x v="119"/>
    <n v="3.7"/>
    <n v="10"/>
    <x v="0"/>
    <s v="Regular"/>
    <s v="Cancelled"/>
    <n v="12.97"/>
    <n v="77.59"/>
    <n v="12221"/>
    <n v="14670"/>
    <n v="10595"/>
    <n v="14571"/>
    <x v="3"/>
  </r>
  <r>
    <n v="1401"/>
    <s v="Starbucks Chennai"/>
    <s v="India"/>
    <x v="3"/>
    <s v="Chennai"/>
    <s v="South"/>
    <x v="144"/>
    <x v="5"/>
    <x v="2"/>
    <x v="4"/>
    <s v="Neha"/>
    <n v="14"/>
    <n v="4074"/>
    <n v="2729.47"/>
    <n v="1344.53"/>
    <x v="80"/>
    <n v="4"/>
    <n v="5"/>
    <x v="0"/>
    <s v="Gold"/>
    <s v="Refunded"/>
    <n v="13.08"/>
    <n v="80.27"/>
    <n v="10856"/>
    <n v="14448"/>
    <n v="9638"/>
    <n v="10415"/>
    <x v="3"/>
  </r>
  <r>
    <n v="1402"/>
    <s v="Starbucks Bengaluru"/>
    <s v="India"/>
    <x v="0"/>
    <s v="Bengaluru"/>
    <s v="South"/>
    <x v="147"/>
    <x v="2"/>
    <x v="1"/>
    <x v="2"/>
    <s v="Anu"/>
    <n v="55"/>
    <n v="12980"/>
    <n v="9659.59"/>
    <n v="3320.41"/>
    <x v="206"/>
    <n v="4.4000000000000004"/>
    <n v="10"/>
    <x v="0"/>
    <s v="Regular"/>
    <s v="Refunded"/>
    <n v="12.97"/>
    <n v="77.59"/>
    <n v="13920"/>
    <n v="16564"/>
    <n v="12037"/>
    <n v="12945"/>
    <x v="0"/>
  </r>
  <r>
    <n v="1403"/>
    <s v="Starbucks Kochi"/>
    <s v="India"/>
    <x v="4"/>
    <s v="Kochi"/>
    <s v="South"/>
    <x v="51"/>
    <x v="2"/>
    <x v="3"/>
    <x v="7"/>
    <s v="Neha"/>
    <n v="32"/>
    <n v="7936"/>
    <n v="6184.92"/>
    <n v="1751.08"/>
    <x v="100"/>
    <n v="3.5"/>
    <n v="5"/>
    <x v="2"/>
    <s v="Regular"/>
    <s v="Refunded"/>
    <n v="9.93"/>
    <n v="76.260000000000005"/>
    <n v="9770"/>
    <n v="14674"/>
    <n v="8453"/>
    <n v="10226"/>
    <x v="2"/>
  </r>
  <r>
    <n v="1404"/>
    <s v="Starbucks Kochi"/>
    <s v="India"/>
    <x v="4"/>
    <s v="Kochi"/>
    <s v="South"/>
    <x v="3"/>
    <x v="1"/>
    <x v="0"/>
    <x v="1"/>
    <s v="Vivek"/>
    <n v="30"/>
    <n v="8250"/>
    <n v="5242.59"/>
    <n v="3007.41"/>
    <x v="207"/>
    <n v="3.5"/>
    <n v="15"/>
    <x v="2"/>
    <s v="Regular"/>
    <s v="Cancelled"/>
    <n v="9.93"/>
    <n v="76.260000000000005"/>
    <n v="5507"/>
    <n v="7354"/>
    <n v="4976"/>
    <n v="6477"/>
    <x v="2"/>
  </r>
  <r>
    <n v="1405"/>
    <s v="Starbucks New Delhi"/>
    <s v="India"/>
    <x v="1"/>
    <s v="New Delhi"/>
    <s v="North"/>
    <x v="87"/>
    <x v="4"/>
    <x v="3"/>
    <x v="7"/>
    <s v="Vivek"/>
    <n v="47"/>
    <n v="11562"/>
    <n v="7990.94"/>
    <n v="3571.06"/>
    <x v="38"/>
    <n v="3.6"/>
    <n v="0"/>
    <x v="1"/>
    <s v="Regular"/>
    <s v="Cancelled"/>
    <n v="28.61"/>
    <n v="77.2"/>
    <n v="6848"/>
    <n v="10430"/>
    <n v="5453"/>
    <n v="9656"/>
    <x v="1"/>
  </r>
  <r>
    <n v="1406"/>
    <s v="Starbucks New Delhi"/>
    <s v="India"/>
    <x v="1"/>
    <s v="New Delhi"/>
    <s v="North"/>
    <x v="26"/>
    <x v="0"/>
    <x v="0"/>
    <x v="1"/>
    <s v="Rahul"/>
    <n v="54"/>
    <n v="20412"/>
    <n v="13543.19"/>
    <n v="6868.81"/>
    <x v="208"/>
    <n v="4.2"/>
    <n v="5"/>
    <x v="0"/>
    <s v="Gold"/>
    <s v="Refunded"/>
    <n v="28.61"/>
    <n v="77.2"/>
    <n v="13825"/>
    <n v="18316"/>
    <n v="12736"/>
    <n v="14898"/>
    <x v="1"/>
  </r>
  <r>
    <n v="1407"/>
    <s v="Starbucks Bengaluru"/>
    <s v="India"/>
    <x v="0"/>
    <s v="Bengaluru"/>
    <s v="South"/>
    <x v="106"/>
    <x v="1"/>
    <x v="1"/>
    <x v="8"/>
    <s v="Vivek"/>
    <n v="54"/>
    <n v="22302"/>
    <n v="12646.13"/>
    <n v="9655.8700000000008"/>
    <x v="151"/>
    <n v="4.3"/>
    <n v="15"/>
    <x v="1"/>
    <s v="Regular"/>
    <s v="Cancelled"/>
    <n v="12.97"/>
    <n v="77.59"/>
    <n v="10396"/>
    <n v="13391"/>
    <n v="9225"/>
    <n v="10912"/>
    <x v="3"/>
  </r>
  <r>
    <n v="1408"/>
    <s v="Starbucks Mumbai"/>
    <s v="India"/>
    <x v="2"/>
    <s v="Mumbai"/>
    <s v="West"/>
    <x v="72"/>
    <x v="1"/>
    <x v="2"/>
    <x v="3"/>
    <s v="Neha"/>
    <n v="49"/>
    <n v="8967"/>
    <n v="6221.06"/>
    <n v="2745.94"/>
    <x v="146"/>
    <n v="3.6"/>
    <n v="15"/>
    <x v="1"/>
    <s v="Gold"/>
    <s v="Refunded"/>
    <n v="19.07"/>
    <n v="72.87"/>
    <n v="6747"/>
    <n v="9261"/>
    <n v="4858"/>
    <n v="6093"/>
    <x v="2"/>
  </r>
  <r>
    <n v="1409"/>
    <s v="Starbucks New Delhi"/>
    <s v="India"/>
    <x v="1"/>
    <s v="New Delhi"/>
    <s v="North"/>
    <x v="155"/>
    <x v="4"/>
    <x v="3"/>
    <x v="6"/>
    <s v="Asha"/>
    <n v="12"/>
    <n v="3312"/>
    <n v="2243.23"/>
    <n v="1068.77"/>
    <x v="209"/>
    <n v="3.7"/>
    <n v="5"/>
    <x v="0"/>
    <s v="Gold"/>
    <s v="Cancelled"/>
    <n v="28.61"/>
    <n v="77.2"/>
    <n v="13268"/>
    <n v="16953"/>
    <n v="11521"/>
    <n v="12604"/>
    <x v="0"/>
  </r>
  <r>
    <n v="1410"/>
    <s v="Starbucks Chennai"/>
    <s v="India"/>
    <x v="3"/>
    <s v="Chennai"/>
    <s v="South"/>
    <x v="124"/>
    <x v="3"/>
    <x v="1"/>
    <x v="8"/>
    <s v="Asha"/>
    <n v="8"/>
    <n v="3208"/>
    <n v="1898.29"/>
    <n v="1309.71"/>
    <x v="210"/>
    <n v="3.7"/>
    <n v="15"/>
    <x v="2"/>
    <s v="Premium"/>
    <s v="Refunded"/>
    <n v="13.08"/>
    <n v="80.27"/>
    <n v="9175"/>
    <n v="12546"/>
    <n v="8346"/>
    <n v="9109"/>
    <x v="1"/>
  </r>
  <r>
    <n v="1411"/>
    <s v="Starbucks Kochi"/>
    <s v="India"/>
    <x v="4"/>
    <s v="Kochi"/>
    <s v="South"/>
    <x v="87"/>
    <x v="4"/>
    <x v="1"/>
    <x v="2"/>
    <s v="Asha"/>
    <n v="36"/>
    <n v="9180"/>
    <n v="5276.78"/>
    <n v="3903.22"/>
    <x v="154"/>
    <n v="3.7"/>
    <n v="15"/>
    <x v="0"/>
    <s v="Premium"/>
    <s v="Cancelled"/>
    <n v="9.93"/>
    <n v="76.260000000000005"/>
    <n v="8284"/>
    <n v="11398"/>
    <n v="6741"/>
    <n v="7705"/>
    <x v="1"/>
  </r>
  <r>
    <n v="1412"/>
    <s v="Starbucks Kochi"/>
    <s v="India"/>
    <x v="4"/>
    <s v="Kochi"/>
    <s v="South"/>
    <x v="150"/>
    <x v="1"/>
    <x v="2"/>
    <x v="3"/>
    <s v="Rahul"/>
    <n v="20"/>
    <n v="6380"/>
    <n v="4838.67"/>
    <n v="1541.33"/>
    <x v="78"/>
    <n v="4.5999999999999996"/>
    <n v="0"/>
    <x v="0"/>
    <s v="Premium"/>
    <s v="Refunded"/>
    <n v="9.93"/>
    <n v="76.260000000000005"/>
    <n v="14577"/>
    <n v="18768"/>
    <n v="13183"/>
    <n v="15501"/>
    <x v="0"/>
  </r>
  <r>
    <n v="1413"/>
    <s v="Starbucks Bengaluru"/>
    <s v="India"/>
    <x v="0"/>
    <s v="Bengaluru"/>
    <s v="South"/>
    <x v="38"/>
    <x v="5"/>
    <x v="0"/>
    <x v="5"/>
    <s v="Rahul"/>
    <n v="33"/>
    <n v="9009"/>
    <n v="5950.07"/>
    <n v="3058.93"/>
    <x v="211"/>
    <n v="3.7"/>
    <n v="10"/>
    <x v="0"/>
    <s v="Premium"/>
    <s v="Refunded"/>
    <n v="12.97"/>
    <n v="77.59"/>
    <n v="10429"/>
    <n v="12105"/>
    <n v="8677"/>
    <n v="10342"/>
    <x v="2"/>
  </r>
  <r>
    <n v="1414"/>
    <s v="Starbucks Mumbai"/>
    <s v="India"/>
    <x v="2"/>
    <s v="Mumbai"/>
    <s v="West"/>
    <x v="23"/>
    <x v="0"/>
    <x v="0"/>
    <x v="5"/>
    <s v="Asha"/>
    <n v="32"/>
    <n v="6880"/>
    <n v="5395.14"/>
    <n v="1484.86"/>
    <x v="175"/>
    <n v="4.8"/>
    <n v="0"/>
    <x v="0"/>
    <s v="Gold"/>
    <s v="Cancelled"/>
    <n v="19.07"/>
    <n v="72.87"/>
    <n v="9527"/>
    <n v="13408"/>
    <n v="8931"/>
    <n v="12026"/>
    <x v="3"/>
  </r>
  <r>
    <n v="1415"/>
    <s v="Starbucks New Delhi"/>
    <s v="India"/>
    <x v="1"/>
    <s v="New Delhi"/>
    <s v="North"/>
    <x v="108"/>
    <x v="4"/>
    <x v="1"/>
    <x v="2"/>
    <s v="Anu"/>
    <n v="5"/>
    <n v="1995"/>
    <n v="1188.76"/>
    <n v="806.24"/>
    <x v="115"/>
    <n v="4.7"/>
    <n v="10"/>
    <x v="0"/>
    <s v="Gold"/>
    <s v="Completed"/>
    <n v="28.61"/>
    <n v="77.2"/>
    <n v="11522"/>
    <n v="14706"/>
    <n v="10128"/>
    <n v="12608"/>
    <x v="2"/>
  </r>
  <r>
    <n v="1416"/>
    <s v="Starbucks New Delhi"/>
    <s v="India"/>
    <x v="1"/>
    <s v="New Delhi"/>
    <s v="North"/>
    <x v="129"/>
    <x v="1"/>
    <x v="0"/>
    <x v="0"/>
    <s v="Neha"/>
    <n v="59"/>
    <n v="17995"/>
    <n v="14190.98"/>
    <n v="3804.02"/>
    <x v="166"/>
    <n v="3.7"/>
    <n v="0"/>
    <x v="0"/>
    <s v="Regular"/>
    <s v="Refunded"/>
    <n v="28.61"/>
    <n v="77.2"/>
    <n v="10486"/>
    <n v="11888"/>
    <n v="9571"/>
    <n v="10793"/>
    <x v="3"/>
  </r>
  <r>
    <n v="1417"/>
    <s v="Starbucks Bengaluru"/>
    <s v="India"/>
    <x v="0"/>
    <s v="Bengaluru"/>
    <s v="South"/>
    <x v="116"/>
    <x v="4"/>
    <x v="2"/>
    <x v="4"/>
    <s v="Neha"/>
    <n v="44"/>
    <n v="13508"/>
    <n v="10374.5"/>
    <n v="3133.5"/>
    <x v="42"/>
    <n v="4.0999999999999996"/>
    <n v="0"/>
    <x v="0"/>
    <s v="Premium"/>
    <s v="Completed"/>
    <n v="12.97"/>
    <n v="77.59"/>
    <n v="12883"/>
    <n v="14088"/>
    <n v="11726"/>
    <n v="11762"/>
    <x v="2"/>
  </r>
  <r>
    <n v="1418"/>
    <s v="Starbucks Kochi"/>
    <s v="India"/>
    <x v="4"/>
    <s v="Kochi"/>
    <s v="South"/>
    <x v="55"/>
    <x v="5"/>
    <x v="2"/>
    <x v="3"/>
    <s v="Rahul"/>
    <n v="29"/>
    <n v="9222"/>
    <n v="5526.16"/>
    <n v="3695.84"/>
    <x v="54"/>
    <n v="4.0999999999999996"/>
    <n v="15"/>
    <x v="0"/>
    <s v="Premium"/>
    <s v="Completed"/>
    <n v="9.93"/>
    <n v="76.260000000000005"/>
    <n v="5214"/>
    <n v="9807"/>
    <n v="3710"/>
    <n v="4122"/>
    <x v="0"/>
  </r>
  <r>
    <n v="1419"/>
    <s v="Starbucks Mumbai"/>
    <s v="India"/>
    <x v="2"/>
    <s v="Mumbai"/>
    <s v="West"/>
    <x v="66"/>
    <x v="3"/>
    <x v="2"/>
    <x v="3"/>
    <s v="Neha"/>
    <n v="19"/>
    <n v="7961"/>
    <n v="4472.34"/>
    <n v="3488.66"/>
    <x v="88"/>
    <n v="4.8"/>
    <n v="10"/>
    <x v="0"/>
    <s v="Premium"/>
    <s v="Refunded"/>
    <n v="19.07"/>
    <n v="72.87"/>
    <n v="11926"/>
    <n v="13304"/>
    <n v="11279"/>
    <n v="13009"/>
    <x v="2"/>
  </r>
  <r>
    <n v="1420"/>
    <s v="Starbucks Mumbai"/>
    <s v="India"/>
    <x v="2"/>
    <s v="Mumbai"/>
    <s v="West"/>
    <x v="142"/>
    <x v="5"/>
    <x v="0"/>
    <x v="1"/>
    <s v="Rahul"/>
    <n v="12"/>
    <n v="2496"/>
    <n v="1473.13"/>
    <n v="1022.87"/>
    <x v="212"/>
    <n v="4.7"/>
    <n v="5"/>
    <x v="2"/>
    <s v="Premium"/>
    <s v="Completed"/>
    <n v="19.07"/>
    <n v="72.87"/>
    <n v="13920"/>
    <n v="18688"/>
    <n v="12234"/>
    <n v="14971"/>
    <x v="2"/>
  </r>
  <r>
    <n v="1421"/>
    <s v="Starbucks Chennai"/>
    <s v="India"/>
    <x v="3"/>
    <s v="Chennai"/>
    <s v="South"/>
    <x v="47"/>
    <x v="2"/>
    <x v="2"/>
    <x v="3"/>
    <s v="Neha"/>
    <n v="37"/>
    <n v="9065"/>
    <n v="5066.05"/>
    <n v="3998.95"/>
    <x v="89"/>
    <n v="3.9"/>
    <n v="10"/>
    <x v="1"/>
    <s v="Premium"/>
    <s v="Cancelled"/>
    <n v="13.08"/>
    <n v="80.27"/>
    <n v="6873"/>
    <n v="9188"/>
    <n v="5885"/>
    <n v="7734"/>
    <x v="0"/>
  </r>
  <r>
    <n v="1422"/>
    <s v="Starbucks Chennai"/>
    <s v="India"/>
    <x v="3"/>
    <s v="Chennai"/>
    <s v="South"/>
    <x v="95"/>
    <x v="2"/>
    <x v="3"/>
    <x v="6"/>
    <s v="Neha"/>
    <n v="39"/>
    <n v="15522"/>
    <n v="9777.1299999999992"/>
    <n v="5744.87"/>
    <x v="43"/>
    <n v="4.3"/>
    <n v="15"/>
    <x v="0"/>
    <s v="Gold"/>
    <s v="Completed"/>
    <n v="13.08"/>
    <n v="80.27"/>
    <n v="9145"/>
    <n v="12926"/>
    <n v="7929"/>
    <n v="11939"/>
    <x v="2"/>
  </r>
  <r>
    <n v="1423"/>
    <s v="Starbucks Chennai"/>
    <s v="India"/>
    <x v="3"/>
    <s v="Chennai"/>
    <s v="South"/>
    <x v="137"/>
    <x v="2"/>
    <x v="1"/>
    <x v="2"/>
    <s v="Asha"/>
    <n v="14"/>
    <n v="3192"/>
    <n v="1922.25"/>
    <n v="1269.75"/>
    <x v="213"/>
    <n v="4.8"/>
    <n v="15"/>
    <x v="1"/>
    <s v="Gold"/>
    <s v="Completed"/>
    <n v="13.08"/>
    <n v="80.27"/>
    <n v="7466"/>
    <n v="9166"/>
    <n v="5977"/>
    <n v="8754"/>
    <x v="3"/>
  </r>
  <r>
    <n v="1424"/>
    <s v="Starbucks Chennai"/>
    <s v="India"/>
    <x v="3"/>
    <s v="Chennai"/>
    <s v="South"/>
    <x v="129"/>
    <x v="1"/>
    <x v="0"/>
    <x v="1"/>
    <s v="Asha"/>
    <n v="44"/>
    <n v="17600"/>
    <n v="11433.41"/>
    <n v="6166.59"/>
    <x v="172"/>
    <n v="4.8"/>
    <n v="10"/>
    <x v="0"/>
    <s v="Regular"/>
    <s v="Completed"/>
    <n v="13.08"/>
    <n v="80.27"/>
    <n v="12540"/>
    <n v="15808"/>
    <n v="11554"/>
    <n v="13311"/>
    <x v="2"/>
  </r>
  <r>
    <n v="1425"/>
    <s v="Starbucks Chennai"/>
    <s v="India"/>
    <x v="3"/>
    <s v="Chennai"/>
    <s v="South"/>
    <x v="156"/>
    <x v="3"/>
    <x v="1"/>
    <x v="2"/>
    <s v="Neha"/>
    <n v="5"/>
    <n v="1380"/>
    <n v="891.34"/>
    <n v="488.66"/>
    <x v="212"/>
    <n v="4.8"/>
    <n v="0"/>
    <x v="2"/>
    <s v="Gold"/>
    <s v="Refunded"/>
    <n v="13.08"/>
    <n v="80.27"/>
    <n v="14737"/>
    <n v="18739"/>
    <n v="12894"/>
    <n v="13407"/>
    <x v="0"/>
  </r>
  <r>
    <n v="1426"/>
    <s v="Starbucks New Delhi"/>
    <s v="India"/>
    <x v="1"/>
    <s v="New Delhi"/>
    <s v="North"/>
    <x v="40"/>
    <x v="3"/>
    <x v="2"/>
    <x v="3"/>
    <s v="Vivek"/>
    <n v="9"/>
    <n v="2592"/>
    <n v="1588.14"/>
    <n v="1003.86"/>
    <x v="192"/>
    <n v="3.5"/>
    <n v="15"/>
    <x v="0"/>
    <s v="Gold"/>
    <s v="Completed"/>
    <n v="28.61"/>
    <n v="77.2"/>
    <n v="13721"/>
    <n v="16583"/>
    <n v="12740"/>
    <n v="16570"/>
    <x v="1"/>
  </r>
  <r>
    <n v="1427"/>
    <s v="Starbucks Mumbai"/>
    <s v="India"/>
    <x v="2"/>
    <s v="Mumbai"/>
    <s v="West"/>
    <x v="18"/>
    <x v="1"/>
    <x v="1"/>
    <x v="8"/>
    <s v="Neha"/>
    <n v="44"/>
    <n v="17556"/>
    <n v="11536.15"/>
    <n v="6019.85"/>
    <x v="25"/>
    <n v="4.4000000000000004"/>
    <n v="10"/>
    <x v="2"/>
    <s v="Regular"/>
    <s v="Completed"/>
    <n v="19.07"/>
    <n v="72.87"/>
    <n v="5704"/>
    <n v="9897"/>
    <n v="4701"/>
    <n v="4901"/>
    <x v="2"/>
  </r>
  <r>
    <n v="1428"/>
    <s v="Starbucks Mumbai"/>
    <s v="India"/>
    <x v="2"/>
    <s v="Mumbai"/>
    <s v="West"/>
    <x v="125"/>
    <x v="1"/>
    <x v="3"/>
    <x v="7"/>
    <s v="Neha"/>
    <n v="5"/>
    <n v="1985"/>
    <n v="1461.3"/>
    <n v="523.70000000000005"/>
    <x v="13"/>
    <n v="4.0999999999999996"/>
    <n v="0"/>
    <x v="0"/>
    <s v="Gold"/>
    <s v="Refunded"/>
    <n v="19.07"/>
    <n v="72.87"/>
    <n v="10887"/>
    <n v="14392"/>
    <n v="9842"/>
    <n v="12623"/>
    <x v="3"/>
  </r>
  <r>
    <n v="1429"/>
    <s v="Starbucks Mumbai"/>
    <s v="India"/>
    <x v="2"/>
    <s v="Mumbai"/>
    <s v="West"/>
    <x v="27"/>
    <x v="1"/>
    <x v="1"/>
    <x v="2"/>
    <s v="Rahul"/>
    <n v="17"/>
    <n v="5525"/>
    <n v="3464.32"/>
    <n v="2060.6799999999998"/>
    <x v="14"/>
    <n v="4.3"/>
    <n v="10"/>
    <x v="2"/>
    <s v="Regular"/>
    <s v="Cancelled"/>
    <n v="19.07"/>
    <n v="72.87"/>
    <n v="5241"/>
    <n v="8145"/>
    <n v="3919"/>
    <n v="4590"/>
    <x v="3"/>
  </r>
  <r>
    <n v="1430"/>
    <s v="Starbucks Bengaluru"/>
    <s v="India"/>
    <x v="0"/>
    <s v="Bengaluru"/>
    <s v="South"/>
    <x v="49"/>
    <x v="5"/>
    <x v="2"/>
    <x v="3"/>
    <s v="Asha"/>
    <n v="58"/>
    <n v="17632"/>
    <n v="10717.59"/>
    <n v="6914.41"/>
    <x v="77"/>
    <n v="5"/>
    <n v="5"/>
    <x v="2"/>
    <s v="Premium"/>
    <s v="Completed"/>
    <n v="12.97"/>
    <n v="77.59"/>
    <n v="12230"/>
    <n v="13263"/>
    <n v="11461"/>
    <n v="12378"/>
    <x v="3"/>
  </r>
  <r>
    <n v="1431"/>
    <s v="Starbucks Mumbai"/>
    <s v="India"/>
    <x v="2"/>
    <s v="Mumbai"/>
    <s v="West"/>
    <x v="73"/>
    <x v="5"/>
    <x v="3"/>
    <x v="6"/>
    <s v="Vivek"/>
    <n v="36"/>
    <n v="10368"/>
    <n v="6874.43"/>
    <n v="3493.57"/>
    <x v="121"/>
    <n v="3.9"/>
    <n v="15"/>
    <x v="2"/>
    <s v="Gold"/>
    <s v="Completed"/>
    <n v="19.07"/>
    <n v="72.87"/>
    <n v="11685"/>
    <n v="13176"/>
    <n v="9730"/>
    <n v="12256"/>
    <x v="3"/>
  </r>
  <r>
    <n v="1432"/>
    <s v="Starbucks Bengaluru"/>
    <s v="India"/>
    <x v="0"/>
    <s v="Bengaluru"/>
    <s v="South"/>
    <x v="29"/>
    <x v="2"/>
    <x v="0"/>
    <x v="0"/>
    <s v="Rahul"/>
    <n v="25"/>
    <n v="5900"/>
    <n v="4348.75"/>
    <n v="1551.25"/>
    <x v="49"/>
    <n v="4.4000000000000004"/>
    <n v="5"/>
    <x v="1"/>
    <s v="Regular"/>
    <s v="Refunded"/>
    <n v="12.97"/>
    <n v="77.59"/>
    <n v="13314"/>
    <n v="16098"/>
    <n v="12233"/>
    <n v="12998"/>
    <x v="1"/>
  </r>
  <r>
    <n v="1433"/>
    <s v="Starbucks Chennai"/>
    <s v="India"/>
    <x v="3"/>
    <s v="Chennai"/>
    <s v="South"/>
    <x v="154"/>
    <x v="5"/>
    <x v="3"/>
    <x v="6"/>
    <s v="Asha"/>
    <n v="33"/>
    <n v="12870"/>
    <n v="7366.43"/>
    <n v="5503.57"/>
    <x v="36"/>
    <n v="3.7"/>
    <n v="15"/>
    <x v="1"/>
    <s v="Premium"/>
    <s v="Completed"/>
    <n v="13.08"/>
    <n v="80.27"/>
    <n v="9070"/>
    <n v="12412"/>
    <n v="7763"/>
    <n v="9217"/>
    <x v="3"/>
  </r>
  <r>
    <n v="1434"/>
    <s v="Starbucks Bengaluru"/>
    <s v="India"/>
    <x v="0"/>
    <s v="Bengaluru"/>
    <s v="South"/>
    <x v="48"/>
    <x v="3"/>
    <x v="2"/>
    <x v="4"/>
    <s v="Asha"/>
    <n v="7"/>
    <n v="2737"/>
    <n v="1658.61"/>
    <n v="1078.3900000000001"/>
    <x v="176"/>
    <n v="3.6"/>
    <n v="10"/>
    <x v="0"/>
    <s v="Regular"/>
    <s v="Refunded"/>
    <n v="12.97"/>
    <n v="77.59"/>
    <n v="8848"/>
    <n v="13114"/>
    <n v="8009"/>
    <n v="12318"/>
    <x v="3"/>
  </r>
  <r>
    <n v="1435"/>
    <s v="Starbucks New Delhi"/>
    <s v="India"/>
    <x v="1"/>
    <s v="New Delhi"/>
    <s v="North"/>
    <x v="70"/>
    <x v="3"/>
    <x v="1"/>
    <x v="8"/>
    <s v="Vivek"/>
    <n v="18"/>
    <n v="5148"/>
    <n v="3038.04"/>
    <n v="2109.96"/>
    <x v="72"/>
    <n v="4.9000000000000004"/>
    <n v="5"/>
    <x v="1"/>
    <s v="Regular"/>
    <s v="Refunded"/>
    <n v="28.61"/>
    <n v="77.2"/>
    <n v="7388"/>
    <n v="10076"/>
    <n v="5838"/>
    <n v="8899"/>
    <x v="2"/>
  </r>
  <r>
    <n v="1436"/>
    <s v="Starbucks Mumbai"/>
    <s v="India"/>
    <x v="2"/>
    <s v="Mumbai"/>
    <s v="West"/>
    <x v="134"/>
    <x v="4"/>
    <x v="0"/>
    <x v="1"/>
    <s v="Vivek"/>
    <n v="47"/>
    <n v="12878"/>
    <n v="8518.65"/>
    <n v="4359.3500000000004"/>
    <x v="50"/>
    <n v="3.8"/>
    <n v="5"/>
    <x v="2"/>
    <s v="Gold"/>
    <s v="Refunded"/>
    <n v="19.07"/>
    <n v="72.87"/>
    <n v="8384"/>
    <n v="12310"/>
    <n v="6623"/>
    <n v="11626"/>
    <x v="3"/>
  </r>
  <r>
    <n v="1437"/>
    <s v="Starbucks Chennai"/>
    <s v="India"/>
    <x v="3"/>
    <s v="Chennai"/>
    <s v="South"/>
    <x v="104"/>
    <x v="2"/>
    <x v="2"/>
    <x v="3"/>
    <s v="Asha"/>
    <n v="15"/>
    <n v="5415"/>
    <n v="3110.09"/>
    <n v="2304.91"/>
    <x v="214"/>
    <n v="4.2"/>
    <n v="15"/>
    <x v="0"/>
    <s v="Premium"/>
    <s v="Completed"/>
    <n v="13.08"/>
    <n v="80.27"/>
    <n v="6381"/>
    <n v="9727"/>
    <n v="5053"/>
    <n v="8382"/>
    <x v="2"/>
  </r>
  <r>
    <n v="1438"/>
    <s v="Starbucks New Delhi"/>
    <s v="India"/>
    <x v="1"/>
    <s v="New Delhi"/>
    <s v="North"/>
    <x v="113"/>
    <x v="0"/>
    <x v="3"/>
    <x v="7"/>
    <s v="Rahul"/>
    <n v="32"/>
    <n v="11456"/>
    <n v="6605.97"/>
    <n v="4850.03"/>
    <x v="179"/>
    <n v="4.2"/>
    <n v="15"/>
    <x v="1"/>
    <s v="Premium"/>
    <s v="Refunded"/>
    <n v="28.61"/>
    <n v="77.2"/>
    <n v="10901"/>
    <n v="14740"/>
    <n v="9826"/>
    <n v="14007"/>
    <x v="1"/>
  </r>
  <r>
    <n v="1439"/>
    <s v="Starbucks Bengaluru"/>
    <s v="India"/>
    <x v="0"/>
    <s v="Bengaluru"/>
    <s v="South"/>
    <x v="121"/>
    <x v="1"/>
    <x v="1"/>
    <x v="8"/>
    <s v="Neha"/>
    <n v="51"/>
    <n v="15351"/>
    <n v="9750.6299999999992"/>
    <n v="5600.37"/>
    <x v="116"/>
    <n v="4.7"/>
    <n v="0"/>
    <x v="2"/>
    <s v="Regular"/>
    <s v="Refunded"/>
    <n v="12.97"/>
    <n v="77.59"/>
    <n v="11709"/>
    <n v="14182"/>
    <n v="10652"/>
    <n v="13274"/>
    <x v="3"/>
  </r>
  <r>
    <n v="1440"/>
    <s v="Starbucks Mumbai"/>
    <s v="India"/>
    <x v="2"/>
    <s v="Mumbai"/>
    <s v="West"/>
    <x v="73"/>
    <x v="5"/>
    <x v="3"/>
    <x v="7"/>
    <s v="Anu"/>
    <n v="7"/>
    <n v="2933"/>
    <n v="1922.93"/>
    <n v="1010.07"/>
    <x v="141"/>
    <n v="3.9"/>
    <n v="10"/>
    <x v="1"/>
    <s v="Premium"/>
    <s v="Refunded"/>
    <n v="19.07"/>
    <n v="72.87"/>
    <n v="10924"/>
    <n v="14842"/>
    <n v="9634"/>
    <n v="11390"/>
    <x v="3"/>
  </r>
  <r>
    <n v="1441"/>
    <s v="Starbucks Bengaluru"/>
    <s v="India"/>
    <x v="0"/>
    <s v="Bengaluru"/>
    <s v="South"/>
    <x v="82"/>
    <x v="3"/>
    <x v="2"/>
    <x v="3"/>
    <s v="Rahul"/>
    <n v="33"/>
    <n v="8679"/>
    <n v="6022.8"/>
    <n v="2656.2"/>
    <x v="187"/>
    <n v="4.0999999999999996"/>
    <n v="10"/>
    <x v="2"/>
    <s v="Gold"/>
    <s v="Completed"/>
    <n v="12.97"/>
    <n v="77.59"/>
    <n v="12411"/>
    <n v="16751"/>
    <n v="11825"/>
    <n v="14177"/>
    <x v="1"/>
  </r>
  <r>
    <n v="1442"/>
    <s v="Starbucks New Delhi"/>
    <s v="India"/>
    <x v="1"/>
    <s v="New Delhi"/>
    <s v="North"/>
    <x v="122"/>
    <x v="5"/>
    <x v="1"/>
    <x v="2"/>
    <s v="Asha"/>
    <n v="20"/>
    <n v="3920"/>
    <n v="2502.44"/>
    <n v="1417.56"/>
    <x v="142"/>
    <n v="4.5999999999999996"/>
    <n v="0"/>
    <x v="0"/>
    <s v="Gold"/>
    <s v="Cancelled"/>
    <n v="28.61"/>
    <n v="77.2"/>
    <n v="14336"/>
    <n v="18354"/>
    <n v="12677"/>
    <n v="17224"/>
    <x v="3"/>
  </r>
  <r>
    <n v="1443"/>
    <s v="Starbucks Mumbai"/>
    <s v="India"/>
    <x v="2"/>
    <s v="Mumbai"/>
    <s v="West"/>
    <x v="69"/>
    <x v="3"/>
    <x v="0"/>
    <x v="0"/>
    <s v="Neha"/>
    <n v="8"/>
    <n v="2392"/>
    <n v="1457.57"/>
    <n v="934.43"/>
    <x v="215"/>
    <n v="4.8"/>
    <n v="10"/>
    <x v="0"/>
    <s v="Gold"/>
    <s v="Cancelled"/>
    <n v="19.07"/>
    <n v="72.87"/>
    <n v="12812"/>
    <n v="15823"/>
    <n v="11219"/>
    <n v="14287"/>
    <x v="0"/>
  </r>
  <r>
    <n v="1444"/>
    <s v="Starbucks Bengaluru"/>
    <s v="India"/>
    <x v="0"/>
    <s v="Bengaluru"/>
    <s v="South"/>
    <x v="78"/>
    <x v="2"/>
    <x v="3"/>
    <x v="6"/>
    <s v="Rahul"/>
    <n v="43"/>
    <n v="16598"/>
    <n v="9379.6299999999992"/>
    <n v="7218.37"/>
    <x v="137"/>
    <n v="4.9000000000000004"/>
    <n v="0"/>
    <x v="1"/>
    <s v="Regular"/>
    <s v="Refunded"/>
    <n v="12.97"/>
    <n v="77.59"/>
    <n v="11380"/>
    <n v="13703"/>
    <n v="10612"/>
    <n v="12272"/>
    <x v="2"/>
  </r>
  <r>
    <n v="1445"/>
    <s v="Starbucks Mumbai"/>
    <s v="India"/>
    <x v="2"/>
    <s v="Mumbai"/>
    <s v="West"/>
    <x v="157"/>
    <x v="1"/>
    <x v="3"/>
    <x v="7"/>
    <s v="Asha"/>
    <n v="16"/>
    <n v="3648"/>
    <n v="2554.98"/>
    <n v="1093.02"/>
    <x v="216"/>
    <n v="4.9000000000000004"/>
    <n v="0"/>
    <x v="2"/>
    <s v="Premium"/>
    <s v="Completed"/>
    <n v="19.07"/>
    <n v="72.87"/>
    <n v="6076"/>
    <n v="9387"/>
    <n v="5190"/>
    <n v="7119"/>
    <x v="1"/>
  </r>
  <r>
    <n v="1446"/>
    <s v="Starbucks Chennai"/>
    <s v="India"/>
    <x v="3"/>
    <s v="Chennai"/>
    <s v="South"/>
    <x v="66"/>
    <x v="3"/>
    <x v="0"/>
    <x v="1"/>
    <s v="Anu"/>
    <n v="44"/>
    <n v="11968"/>
    <n v="6745.08"/>
    <n v="5222.92"/>
    <x v="10"/>
    <n v="3.8"/>
    <n v="15"/>
    <x v="1"/>
    <s v="Premium"/>
    <s v="Cancelled"/>
    <n v="13.08"/>
    <n v="80.27"/>
    <n v="14160"/>
    <n v="17053"/>
    <n v="13372"/>
    <n v="14477"/>
    <x v="3"/>
  </r>
  <r>
    <n v="1447"/>
    <s v="Starbucks New Delhi"/>
    <s v="India"/>
    <x v="1"/>
    <s v="New Delhi"/>
    <s v="North"/>
    <x v="89"/>
    <x v="2"/>
    <x v="2"/>
    <x v="4"/>
    <s v="Rahul"/>
    <n v="60"/>
    <n v="13440"/>
    <n v="10582.59"/>
    <n v="2857.41"/>
    <x v="172"/>
    <n v="4.0999999999999996"/>
    <n v="0"/>
    <x v="2"/>
    <s v="Gold"/>
    <s v="Refunded"/>
    <n v="28.61"/>
    <n v="77.2"/>
    <n v="9589"/>
    <n v="10936"/>
    <n v="8721"/>
    <n v="9588"/>
    <x v="3"/>
  </r>
  <r>
    <n v="1448"/>
    <s v="Starbucks Mumbai"/>
    <s v="India"/>
    <x v="2"/>
    <s v="Mumbai"/>
    <s v="West"/>
    <x v="158"/>
    <x v="1"/>
    <x v="2"/>
    <x v="4"/>
    <s v="Neha"/>
    <n v="46"/>
    <n v="8740"/>
    <n v="5718.33"/>
    <n v="3021.67"/>
    <x v="217"/>
    <n v="4.3"/>
    <n v="5"/>
    <x v="1"/>
    <s v="Premium"/>
    <s v="Refunded"/>
    <n v="19.07"/>
    <n v="72.87"/>
    <n v="5473"/>
    <n v="7828"/>
    <n v="4247"/>
    <n v="6211"/>
    <x v="0"/>
  </r>
  <r>
    <n v="1449"/>
    <s v="Starbucks Mumbai"/>
    <s v="India"/>
    <x v="2"/>
    <s v="Mumbai"/>
    <s v="West"/>
    <x v="112"/>
    <x v="1"/>
    <x v="2"/>
    <x v="3"/>
    <s v="Rahul"/>
    <n v="59"/>
    <n v="22597"/>
    <n v="13993.46"/>
    <n v="8603.5400000000009"/>
    <x v="151"/>
    <n v="4.0999999999999996"/>
    <n v="15"/>
    <x v="1"/>
    <s v="Regular"/>
    <s v="Refunded"/>
    <n v="19.07"/>
    <n v="72.87"/>
    <n v="11928"/>
    <n v="14279"/>
    <n v="10602"/>
    <n v="13845"/>
    <x v="0"/>
  </r>
  <r>
    <n v="1450"/>
    <s v="Starbucks Mumbai"/>
    <s v="India"/>
    <x v="2"/>
    <s v="Mumbai"/>
    <s v="West"/>
    <x v="126"/>
    <x v="4"/>
    <x v="1"/>
    <x v="2"/>
    <s v="Rahul"/>
    <n v="32"/>
    <n v="13216"/>
    <n v="9823.6200000000008"/>
    <n v="3392.38"/>
    <x v="101"/>
    <n v="3.6"/>
    <n v="15"/>
    <x v="0"/>
    <s v="Gold"/>
    <s v="Completed"/>
    <n v="19.07"/>
    <n v="72.87"/>
    <n v="5035"/>
    <n v="9394"/>
    <n v="3403"/>
    <n v="4440"/>
    <x v="2"/>
  </r>
  <r>
    <n v="1451"/>
    <s v="Starbucks New Delhi"/>
    <s v="India"/>
    <x v="1"/>
    <s v="New Delhi"/>
    <s v="North"/>
    <x v="140"/>
    <x v="1"/>
    <x v="2"/>
    <x v="4"/>
    <s v="Vivek"/>
    <n v="56"/>
    <n v="17416"/>
    <n v="10245.08"/>
    <n v="7170.92"/>
    <x v="153"/>
    <n v="4.8"/>
    <n v="15"/>
    <x v="2"/>
    <s v="Regular"/>
    <s v="Refunded"/>
    <n v="28.61"/>
    <n v="77.2"/>
    <n v="9273"/>
    <n v="13007"/>
    <n v="8764"/>
    <n v="10719"/>
    <x v="0"/>
  </r>
  <r>
    <n v="1452"/>
    <s v="Starbucks Kochi"/>
    <s v="India"/>
    <x v="4"/>
    <s v="Kochi"/>
    <s v="South"/>
    <x v="159"/>
    <x v="3"/>
    <x v="0"/>
    <x v="0"/>
    <s v="Vivek"/>
    <n v="31"/>
    <n v="6789"/>
    <n v="4565.55"/>
    <n v="2223.4499999999998"/>
    <x v="17"/>
    <n v="4.3"/>
    <n v="0"/>
    <x v="0"/>
    <s v="Regular"/>
    <s v="Refunded"/>
    <n v="9.93"/>
    <n v="76.260000000000005"/>
    <n v="13423"/>
    <n v="18149"/>
    <n v="11854"/>
    <n v="17923"/>
    <x v="0"/>
  </r>
  <r>
    <n v="1453"/>
    <s v="Starbucks New Delhi"/>
    <s v="India"/>
    <x v="1"/>
    <s v="New Delhi"/>
    <s v="North"/>
    <x v="80"/>
    <x v="0"/>
    <x v="0"/>
    <x v="0"/>
    <s v="Vivek"/>
    <n v="28"/>
    <n v="6720"/>
    <n v="5233.76"/>
    <n v="1486.24"/>
    <x v="204"/>
    <n v="3.8"/>
    <n v="15"/>
    <x v="1"/>
    <s v="Regular"/>
    <s v="Completed"/>
    <n v="28.61"/>
    <n v="77.2"/>
    <n v="5970"/>
    <n v="7613"/>
    <n v="4121"/>
    <n v="6059"/>
    <x v="3"/>
  </r>
  <r>
    <n v="1454"/>
    <s v="Starbucks New Delhi"/>
    <s v="India"/>
    <x v="1"/>
    <s v="New Delhi"/>
    <s v="North"/>
    <x v="160"/>
    <x v="4"/>
    <x v="1"/>
    <x v="8"/>
    <s v="Asha"/>
    <n v="55"/>
    <n v="18535"/>
    <n v="10997.67"/>
    <n v="7537.33"/>
    <x v="218"/>
    <n v="4.3"/>
    <n v="5"/>
    <x v="1"/>
    <s v="Premium"/>
    <s v="Cancelled"/>
    <n v="28.61"/>
    <n v="77.2"/>
    <n v="5241"/>
    <n v="9117"/>
    <n v="3449"/>
    <n v="6949"/>
    <x v="2"/>
  </r>
  <r>
    <n v="1455"/>
    <s v="Starbucks Chennai"/>
    <s v="India"/>
    <x v="3"/>
    <s v="Chennai"/>
    <s v="South"/>
    <x v="121"/>
    <x v="1"/>
    <x v="2"/>
    <x v="3"/>
    <s v="Rahul"/>
    <n v="52"/>
    <n v="11388"/>
    <n v="6911.6"/>
    <n v="4476.3999999999996"/>
    <x v="74"/>
    <n v="4.5999999999999996"/>
    <n v="0"/>
    <x v="1"/>
    <s v="Gold"/>
    <s v="Cancelled"/>
    <n v="13.08"/>
    <n v="80.27"/>
    <n v="5916"/>
    <n v="7983"/>
    <n v="4946"/>
    <n v="6265"/>
    <x v="2"/>
  </r>
  <r>
    <n v="1456"/>
    <s v="Starbucks Mumbai"/>
    <s v="India"/>
    <x v="2"/>
    <s v="Mumbai"/>
    <s v="West"/>
    <x v="45"/>
    <x v="3"/>
    <x v="0"/>
    <x v="0"/>
    <s v="Neha"/>
    <n v="13"/>
    <n v="3237"/>
    <n v="1870.12"/>
    <n v="1366.88"/>
    <x v="67"/>
    <n v="4.4000000000000004"/>
    <n v="5"/>
    <x v="0"/>
    <s v="Gold"/>
    <s v="Cancelled"/>
    <n v="19.07"/>
    <n v="72.87"/>
    <n v="6213"/>
    <n v="8977"/>
    <n v="5070"/>
    <n v="8024"/>
    <x v="2"/>
  </r>
  <r>
    <n v="1457"/>
    <s v="Starbucks Chennai"/>
    <s v="India"/>
    <x v="3"/>
    <s v="Chennai"/>
    <s v="South"/>
    <x v="134"/>
    <x v="4"/>
    <x v="1"/>
    <x v="8"/>
    <s v="Asha"/>
    <n v="30"/>
    <n v="11580"/>
    <n v="6561.65"/>
    <n v="5018.3500000000004"/>
    <x v="109"/>
    <n v="4.5"/>
    <n v="0"/>
    <x v="1"/>
    <s v="Regular"/>
    <s v="Cancelled"/>
    <n v="13.08"/>
    <n v="80.27"/>
    <n v="10305"/>
    <n v="12713"/>
    <n v="9268"/>
    <n v="12396"/>
    <x v="0"/>
  </r>
  <r>
    <n v="1458"/>
    <s v="Starbucks New Delhi"/>
    <s v="India"/>
    <x v="1"/>
    <s v="New Delhi"/>
    <s v="North"/>
    <x v="109"/>
    <x v="1"/>
    <x v="0"/>
    <x v="5"/>
    <s v="Asha"/>
    <n v="26"/>
    <n v="7774"/>
    <n v="4890.8500000000004"/>
    <n v="2883.15"/>
    <x v="145"/>
    <n v="3.6"/>
    <n v="0"/>
    <x v="1"/>
    <s v="Premium"/>
    <s v="Cancelled"/>
    <n v="28.61"/>
    <n v="77.2"/>
    <n v="14738"/>
    <n v="17951"/>
    <n v="12791"/>
    <n v="12975"/>
    <x v="2"/>
  </r>
  <r>
    <n v="1459"/>
    <s v="Starbucks New Delhi"/>
    <s v="India"/>
    <x v="1"/>
    <s v="New Delhi"/>
    <s v="North"/>
    <x v="86"/>
    <x v="5"/>
    <x v="0"/>
    <x v="1"/>
    <s v="Rahul"/>
    <n v="35"/>
    <n v="12845"/>
    <n v="8458.8700000000008"/>
    <n v="4386.13"/>
    <x v="19"/>
    <n v="4.8"/>
    <n v="15"/>
    <x v="2"/>
    <s v="Regular"/>
    <s v="Refunded"/>
    <n v="28.61"/>
    <n v="77.2"/>
    <n v="10782"/>
    <n v="14083"/>
    <n v="9569"/>
    <n v="13382"/>
    <x v="3"/>
  </r>
  <r>
    <n v="1460"/>
    <s v="Starbucks Mumbai"/>
    <s v="India"/>
    <x v="2"/>
    <s v="Mumbai"/>
    <s v="West"/>
    <x v="73"/>
    <x v="5"/>
    <x v="1"/>
    <x v="2"/>
    <s v="Asha"/>
    <n v="29"/>
    <n v="10527"/>
    <n v="7298.46"/>
    <n v="3228.54"/>
    <x v="21"/>
    <n v="4"/>
    <n v="0"/>
    <x v="0"/>
    <s v="Gold"/>
    <s v="Refunded"/>
    <n v="19.07"/>
    <n v="72.87"/>
    <n v="7534"/>
    <n v="12287"/>
    <n v="5930"/>
    <n v="8702"/>
    <x v="3"/>
  </r>
  <r>
    <n v="1461"/>
    <s v="Starbucks Chennai"/>
    <s v="India"/>
    <x v="3"/>
    <s v="Chennai"/>
    <s v="South"/>
    <x v="112"/>
    <x v="1"/>
    <x v="2"/>
    <x v="4"/>
    <s v="Vivek"/>
    <n v="34"/>
    <n v="11696"/>
    <n v="9305.5400000000009"/>
    <n v="2390.46"/>
    <x v="133"/>
    <n v="3.7"/>
    <n v="5"/>
    <x v="1"/>
    <s v="Regular"/>
    <s v="Completed"/>
    <n v="13.08"/>
    <n v="80.27"/>
    <n v="8317"/>
    <n v="9416"/>
    <n v="6696"/>
    <n v="7565"/>
    <x v="3"/>
  </r>
  <r>
    <n v="1462"/>
    <s v="Starbucks Mumbai"/>
    <s v="India"/>
    <x v="2"/>
    <s v="Mumbai"/>
    <s v="West"/>
    <x v="89"/>
    <x v="2"/>
    <x v="1"/>
    <x v="2"/>
    <s v="Rahul"/>
    <n v="32"/>
    <n v="8032"/>
    <n v="6385.88"/>
    <n v="1646.12"/>
    <x v="56"/>
    <n v="4.9000000000000004"/>
    <n v="15"/>
    <x v="1"/>
    <s v="Regular"/>
    <s v="Refunded"/>
    <n v="19.07"/>
    <n v="72.87"/>
    <n v="13144"/>
    <n v="16321"/>
    <n v="11167"/>
    <n v="11585"/>
    <x v="2"/>
  </r>
  <r>
    <n v="1463"/>
    <s v="Starbucks Kochi"/>
    <s v="India"/>
    <x v="4"/>
    <s v="Kochi"/>
    <s v="South"/>
    <x v="161"/>
    <x v="2"/>
    <x v="3"/>
    <x v="6"/>
    <s v="Anu"/>
    <n v="13"/>
    <n v="3341"/>
    <n v="2498.27"/>
    <n v="842.73"/>
    <x v="192"/>
    <n v="4.4000000000000004"/>
    <n v="0"/>
    <x v="2"/>
    <s v="Regular"/>
    <s v="Completed"/>
    <n v="9.93"/>
    <n v="76.260000000000005"/>
    <n v="10555"/>
    <n v="15454"/>
    <n v="9541"/>
    <n v="11963"/>
    <x v="2"/>
  </r>
  <r>
    <n v="1464"/>
    <s v="Starbucks Mumbai"/>
    <s v="India"/>
    <x v="2"/>
    <s v="Mumbai"/>
    <s v="West"/>
    <x v="9"/>
    <x v="3"/>
    <x v="1"/>
    <x v="2"/>
    <s v="Asha"/>
    <n v="56"/>
    <n v="21168"/>
    <n v="14893.67"/>
    <n v="6274.33"/>
    <x v="1"/>
    <n v="4.5"/>
    <n v="0"/>
    <x v="1"/>
    <s v="Regular"/>
    <s v="Refunded"/>
    <n v="19.07"/>
    <n v="72.87"/>
    <n v="5532"/>
    <n v="8558"/>
    <n v="3938"/>
    <n v="6910"/>
    <x v="3"/>
  </r>
  <r>
    <n v="1465"/>
    <s v="Starbucks Kochi"/>
    <s v="India"/>
    <x v="4"/>
    <s v="Kochi"/>
    <s v="South"/>
    <x v="142"/>
    <x v="5"/>
    <x v="1"/>
    <x v="8"/>
    <s v="Anu"/>
    <n v="20"/>
    <n v="5020"/>
    <n v="3394.22"/>
    <n v="1625.78"/>
    <x v="159"/>
    <n v="4.7"/>
    <n v="0"/>
    <x v="2"/>
    <s v="Regular"/>
    <s v="Cancelled"/>
    <n v="9.93"/>
    <n v="76.260000000000005"/>
    <n v="7876"/>
    <n v="10725"/>
    <n v="6747"/>
    <n v="8026"/>
    <x v="2"/>
  </r>
  <r>
    <n v="1466"/>
    <s v="Starbucks New Delhi"/>
    <s v="India"/>
    <x v="1"/>
    <s v="New Delhi"/>
    <s v="North"/>
    <x v="162"/>
    <x v="1"/>
    <x v="3"/>
    <x v="7"/>
    <s v="Neha"/>
    <n v="41"/>
    <n v="13448"/>
    <n v="9912.4"/>
    <n v="3535.6"/>
    <x v="170"/>
    <n v="4.2"/>
    <n v="10"/>
    <x v="2"/>
    <s v="Gold"/>
    <s v="Refunded"/>
    <n v="28.61"/>
    <n v="77.2"/>
    <n v="12242"/>
    <n v="16615"/>
    <n v="10439"/>
    <n v="14112"/>
    <x v="2"/>
  </r>
  <r>
    <n v="1467"/>
    <s v="Starbucks Bengaluru"/>
    <s v="India"/>
    <x v="0"/>
    <s v="Bengaluru"/>
    <s v="South"/>
    <x v="90"/>
    <x v="5"/>
    <x v="0"/>
    <x v="0"/>
    <s v="Vivek"/>
    <n v="17"/>
    <n v="3944"/>
    <n v="2948.88"/>
    <n v="995.12"/>
    <x v="66"/>
    <n v="4.9000000000000004"/>
    <n v="5"/>
    <x v="2"/>
    <s v="Regular"/>
    <s v="Cancelled"/>
    <n v="12.97"/>
    <n v="77.59"/>
    <n v="5073"/>
    <n v="8596"/>
    <n v="3328"/>
    <n v="7257"/>
    <x v="2"/>
  </r>
  <r>
    <n v="1468"/>
    <s v="Starbucks Chennai"/>
    <s v="India"/>
    <x v="3"/>
    <s v="Chennai"/>
    <s v="South"/>
    <x v="111"/>
    <x v="5"/>
    <x v="1"/>
    <x v="8"/>
    <s v="Neha"/>
    <n v="48"/>
    <n v="11376"/>
    <n v="7682.18"/>
    <n v="3693.82"/>
    <x v="219"/>
    <n v="4.5"/>
    <n v="15"/>
    <x v="0"/>
    <s v="Gold"/>
    <s v="Cancelled"/>
    <n v="13.08"/>
    <n v="80.27"/>
    <n v="10887"/>
    <n v="15821"/>
    <n v="10212"/>
    <n v="12456"/>
    <x v="3"/>
  </r>
  <r>
    <n v="1469"/>
    <s v="Starbucks Kochi"/>
    <s v="India"/>
    <x v="4"/>
    <s v="Kochi"/>
    <s v="South"/>
    <x v="84"/>
    <x v="5"/>
    <x v="1"/>
    <x v="2"/>
    <s v="Anu"/>
    <n v="29"/>
    <n v="10817"/>
    <n v="8511.25"/>
    <n v="2305.75"/>
    <x v="46"/>
    <n v="4"/>
    <n v="10"/>
    <x v="0"/>
    <s v="Gold"/>
    <s v="Cancelled"/>
    <n v="9.93"/>
    <n v="76.260000000000005"/>
    <n v="7654"/>
    <n v="12200"/>
    <n v="7142"/>
    <n v="7248"/>
    <x v="3"/>
  </r>
  <r>
    <n v="1470"/>
    <s v="Starbucks Mumbai"/>
    <s v="India"/>
    <x v="2"/>
    <s v="Mumbai"/>
    <s v="West"/>
    <x v="16"/>
    <x v="0"/>
    <x v="0"/>
    <x v="0"/>
    <s v="Rahul"/>
    <n v="47"/>
    <n v="12032"/>
    <n v="7417.09"/>
    <n v="4614.91"/>
    <x v="66"/>
    <n v="4.7"/>
    <n v="0"/>
    <x v="1"/>
    <s v="Premium"/>
    <s v="Completed"/>
    <n v="19.07"/>
    <n v="72.87"/>
    <n v="12257"/>
    <n v="15192"/>
    <n v="11087"/>
    <n v="13065"/>
    <x v="2"/>
  </r>
  <r>
    <n v="1471"/>
    <s v="Starbucks Bengaluru"/>
    <s v="India"/>
    <x v="0"/>
    <s v="Bengaluru"/>
    <s v="South"/>
    <x v="48"/>
    <x v="3"/>
    <x v="1"/>
    <x v="8"/>
    <s v="Vivek"/>
    <n v="22"/>
    <n v="8536"/>
    <n v="5678.68"/>
    <n v="2857.32"/>
    <x v="197"/>
    <n v="3.8"/>
    <n v="0"/>
    <x v="0"/>
    <s v="Premium"/>
    <s v="Cancelled"/>
    <n v="12.97"/>
    <n v="77.59"/>
    <n v="5333"/>
    <n v="7049"/>
    <n v="4213"/>
    <n v="5847"/>
    <x v="3"/>
  </r>
  <r>
    <n v="1472"/>
    <s v="Starbucks Chennai"/>
    <s v="India"/>
    <x v="3"/>
    <s v="Chennai"/>
    <s v="South"/>
    <x v="114"/>
    <x v="3"/>
    <x v="2"/>
    <x v="4"/>
    <s v="Neha"/>
    <n v="31"/>
    <n v="9672"/>
    <n v="6324.34"/>
    <n v="3347.66"/>
    <x v="55"/>
    <n v="4"/>
    <n v="5"/>
    <x v="1"/>
    <s v="Premium"/>
    <s v="Cancelled"/>
    <n v="13.08"/>
    <n v="80.27"/>
    <n v="12144"/>
    <n v="15915"/>
    <n v="10294"/>
    <n v="10963"/>
    <x v="1"/>
  </r>
  <r>
    <n v="1473"/>
    <s v="Starbucks Chennai"/>
    <s v="India"/>
    <x v="3"/>
    <s v="Chennai"/>
    <s v="South"/>
    <x v="163"/>
    <x v="2"/>
    <x v="3"/>
    <x v="7"/>
    <s v="Neha"/>
    <n v="45"/>
    <n v="15255"/>
    <n v="9683.65"/>
    <n v="5571.35"/>
    <x v="191"/>
    <n v="4.3"/>
    <n v="10"/>
    <x v="0"/>
    <s v="Gold"/>
    <s v="Completed"/>
    <n v="13.08"/>
    <n v="80.27"/>
    <n v="6132"/>
    <n v="9225"/>
    <n v="4487"/>
    <n v="8540"/>
    <x v="3"/>
  </r>
  <r>
    <n v="1474"/>
    <s v="Starbucks Chennai"/>
    <s v="India"/>
    <x v="3"/>
    <s v="Chennai"/>
    <s v="South"/>
    <x v="113"/>
    <x v="0"/>
    <x v="0"/>
    <x v="5"/>
    <s v="Vivek"/>
    <n v="33"/>
    <n v="9537"/>
    <n v="6182.03"/>
    <n v="3354.97"/>
    <x v="86"/>
    <n v="3.7"/>
    <n v="10"/>
    <x v="2"/>
    <s v="Regular"/>
    <s v="Completed"/>
    <n v="13.08"/>
    <n v="80.27"/>
    <n v="6138"/>
    <n v="9139"/>
    <n v="4716"/>
    <n v="5009"/>
    <x v="2"/>
  </r>
  <r>
    <n v="1475"/>
    <s v="Starbucks New Delhi"/>
    <s v="India"/>
    <x v="1"/>
    <s v="New Delhi"/>
    <s v="North"/>
    <x v="18"/>
    <x v="1"/>
    <x v="1"/>
    <x v="2"/>
    <s v="Vivek"/>
    <n v="38"/>
    <n v="6878"/>
    <n v="4764.83"/>
    <n v="2113.17"/>
    <x v="219"/>
    <n v="4.7"/>
    <n v="0"/>
    <x v="1"/>
    <s v="Premium"/>
    <s v="Refunded"/>
    <n v="28.61"/>
    <n v="77.2"/>
    <n v="6037"/>
    <n v="8998"/>
    <n v="4137"/>
    <n v="6292"/>
    <x v="0"/>
  </r>
  <r>
    <n v="1476"/>
    <s v="Starbucks Mumbai"/>
    <s v="India"/>
    <x v="2"/>
    <s v="Mumbai"/>
    <s v="West"/>
    <x v="126"/>
    <x v="4"/>
    <x v="1"/>
    <x v="2"/>
    <s v="Vivek"/>
    <n v="55"/>
    <n v="14410"/>
    <n v="10611.04"/>
    <n v="3798.96"/>
    <x v="220"/>
    <n v="4.2"/>
    <n v="0"/>
    <x v="2"/>
    <s v="Gold"/>
    <s v="Refunded"/>
    <n v="19.07"/>
    <n v="72.87"/>
    <n v="13031"/>
    <n v="16754"/>
    <n v="11894"/>
    <n v="15796"/>
    <x v="0"/>
  </r>
  <r>
    <n v="1477"/>
    <s v="Starbucks Chennai"/>
    <s v="India"/>
    <x v="3"/>
    <s v="Chennai"/>
    <s v="South"/>
    <x v="77"/>
    <x v="0"/>
    <x v="2"/>
    <x v="4"/>
    <s v="Vivek"/>
    <n v="52"/>
    <n v="14404"/>
    <n v="9834.1"/>
    <n v="4569.8999999999996"/>
    <x v="128"/>
    <n v="4.2"/>
    <n v="0"/>
    <x v="2"/>
    <s v="Regular"/>
    <s v="Cancelled"/>
    <n v="13.08"/>
    <n v="80.27"/>
    <n v="12578"/>
    <n v="17346"/>
    <n v="10697"/>
    <n v="12133"/>
    <x v="2"/>
  </r>
  <r>
    <n v="1478"/>
    <s v="Starbucks Chennai"/>
    <s v="India"/>
    <x v="3"/>
    <s v="Chennai"/>
    <s v="South"/>
    <x v="121"/>
    <x v="1"/>
    <x v="1"/>
    <x v="2"/>
    <s v="Anu"/>
    <n v="21"/>
    <n v="6048"/>
    <n v="3698.87"/>
    <n v="2349.13"/>
    <x v="138"/>
    <n v="3.8"/>
    <n v="10"/>
    <x v="2"/>
    <s v="Gold"/>
    <s v="Cancelled"/>
    <n v="13.08"/>
    <n v="80.27"/>
    <n v="14000"/>
    <n v="17541"/>
    <n v="13437"/>
    <n v="14986"/>
    <x v="1"/>
  </r>
  <r>
    <n v="1479"/>
    <s v="Starbucks New Delhi"/>
    <s v="India"/>
    <x v="1"/>
    <s v="New Delhi"/>
    <s v="North"/>
    <x v="53"/>
    <x v="4"/>
    <x v="1"/>
    <x v="8"/>
    <s v="Vivek"/>
    <n v="17"/>
    <n v="6630"/>
    <n v="4685.9799999999996"/>
    <n v="1944.02"/>
    <x v="135"/>
    <n v="3.6"/>
    <n v="0"/>
    <x v="1"/>
    <s v="Regular"/>
    <s v="Completed"/>
    <n v="28.61"/>
    <n v="77.2"/>
    <n v="6595"/>
    <n v="9030"/>
    <n v="4680"/>
    <n v="5008"/>
    <x v="0"/>
  </r>
  <r>
    <n v="1480"/>
    <s v="Starbucks Mumbai"/>
    <s v="India"/>
    <x v="2"/>
    <s v="Mumbai"/>
    <s v="West"/>
    <x v="164"/>
    <x v="0"/>
    <x v="3"/>
    <x v="6"/>
    <s v="Asha"/>
    <n v="15"/>
    <n v="5430"/>
    <n v="4327.46"/>
    <n v="1102.54"/>
    <x v="131"/>
    <n v="3.7"/>
    <n v="15"/>
    <x v="0"/>
    <s v="Gold"/>
    <s v="Refunded"/>
    <n v="19.07"/>
    <n v="72.87"/>
    <n v="13736"/>
    <n v="15639"/>
    <n v="12084"/>
    <n v="14691"/>
    <x v="3"/>
  </r>
  <r>
    <n v="1481"/>
    <s v="Starbucks Mumbai"/>
    <s v="India"/>
    <x v="2"/>
    <s v="Mumbai"/>
    <s v="West"/>
    <x v="16"/>
    <x v="0"/>
    <x v="1"/>
    <x v="8"/>
    <s v="Anu"/>
    <n v="30"/>
    <n v="10950"/>
    <n v="6277.78"/>
    <n v="4672.22"/>
    <x v="221"/>
    <n v="3.5"/>
    <n v="15"/>
    <x v="0"/>
    <s v="Gold"/>
    <s v="Cancelled"/>
    <n v="19.07"/>
    <n v="72.87"/>
    <n v="10595"/>
    <n v="12580"/>
    <n v="10009"/>
    <n v="11640"/>
    <x v="2"/>
  </r>
  <r>
    <n v="1482"/>
    <s v="Starbucks Kochi"/>
    <s v="India"/>
    <x v="4"/>
    <s v="Kochi"/>
    <s v="South"/>
    <x v="105"/>
    <x v="4"/>
    <x v="0"/>
    <x v="0"/>
    <s v="Neha"/>
    <n v="58"/>
    <n v="12064"/>
    <n v="7773.41"/>
    <n v="4290.59"/>
    <x v="146"/>
    <n v="3.9"/>
    <n v="0"/>
    <x v="1"/>
    <s v="Gold"/>
    <s v="Completed"/>
    <n v="9.93"/>
    <n v="76.260000000000005"/>
    <n v="8560"/>
    <n v="12305"/>
    <n v="7491"/>
    <n v="9504"/>
    <x v="3"/>
  </r>
  <r>
    <n v="1483"/>
    <s v="Starbucks Chennai"/>
    <s v="India"/>
    <x v="3"/>
    <s v="Chennai"/>
    <s v="South"/>
    <x v="141"/>
    <x v="2"/>
    <x v="1"/>
    <x v="8"/>
    <s v="Vivek"/>
    <n v="59"/>
    <n v="12272"/>
    <n v="8576.34"/>
    <n v="3695.66"/>
    <x v="12"/>
    <n v="4.7"/>
    <n v="0"/>
    <x v="2"/>
    <s v="Gold"/>
    <s v="Refunded"/>
    <n v="13.08"/>
    <n v="80.27"/>
    <n v="12024"/>
    <n v="16612"/>
    <n v="11517"/>
    <n v="12767"/>
    <x v="0"/>
  </r>
  <r>
    <n v="1484"/>
    <s v="Starbucks Mumbai"/>
    <s v="India"/>
    <x v="2"/>
    <s v="Mumbai"/>
    <s v="West"/>
    <x v="146"/>
    <x v="5"/>
    <x v="3"/>
    <x v="7"/>
    <s v="Anu"/>
    <n v="16"/>
    <n v="3360"/>
    <n v="1965.05"/>
    <n v="1394.95"/>
    <x v="160"/>
    <n v="3.9"/>
    <n v="5"/>
    <x v="0"/>
    <s v="Regular"/>
    <s v="Completed"/>
    <n v="19.07"/>
    <n v="72.87"/>
    <n v="7867"/>
    <n v="10365"/>
    <n v="6688"/>
    <n v="7586"/>
    <x v="1"/>
  </r>
  <r>
    <n v="1485"/>
    <s v="Starbucks Kochi"/>
    <s v="India"/>
    <x v="4"/>
    <s v="Kochi"/>
    <s v="South"/>
    <x v="76"/>
    <x v="2"/>
    <x v="3"/>
    <x v="7"/>
    <s v="Rahul"/>
    <n v="40"/>
    <n v="7520"/>
    <n v="4806.7700000000004"/>
    <n v="2713.23"/>
    <x v="88"/>
    <n v="4.0999999999999996"/>
    <n v="5"/>
    <x v="2"/>
    <s v="Regular"/>
    <s v="Completed"/>
    <n v="9.93"/>
    <n v="76.260000000000005"/>
    <n v="6574"/>
    <n v="9057"/>
    <n v="4705"/>
    <n v="4925"/>
    <x v="3"/>
  </r>
  <r>
    <n v="1486"/>
    <s v="Starbucks Mumbai"/>
    <s v="India"/>
    <x v="2"/>
    <s v="Mumbai"/>
    <s v="West"/>
    <x v="60"/>
    <x v="4"/>
    <x v="1"/>
    <x v="8"/>
    <s v="Anu"/>
    <n v="32"/>
    <n v="10688"/>
    <n v="6022.72"/>
    <n v="4665.28"/>
    <x v="58"/>
    <n v="4.7"/>
    <n v="10"/>
    <x v="2"/>
    <s v="Regular"/>
    <s v="Cancelled"/>
    <n v="19.07"/>
    <n v="72.87"/>
    <n v="9886"/>
    <n v="12114"/>
    <n v="9333"/>
    <n v="10840"/>
    <x v="3"/>
  </r>
  <r>
    <n v="1487"/>
    <s v="Starbucks Bengaluru"/>
    <s v="India"/>
    <x v="0"/>
    <s v="Bengaluru"/>
    <s v="South"/>
    <x v="18"/>
    <x v="1"/>
    <x v="0"/>
    <x v="1"/>
    <s v="Vivek"/>
    <n v="12"/>
    <n v="3420"/>
    <n v="2517.3000000000002"/>
    <n v="902.7"/>
    <x v="222"/>
    <n v="3.6"/>
    <n v="5"/>
    <x v="0"/>
    <s v="Regular"/>
    <s v="Completed"/>
    <n v="12.97"/>
    <n v="77.59"/>
    <n v="6872"/>
    <n v="10389"/>
    <n v="6140"/>
    <n v="6756"/>
    <x v="1"/>
  </r>
  <r>
    <n v="1488"/>
    <s v="Starbucks Bengaluru"/>
    <s v="India"/>
    <x v="0"/>
    <s v="Bengaluru"/>
    <s v="South"/>
    <x v="117"/>
    <x v="0"/>
    <x v="2"/>
    <x v="3"/>
    <s v="Asha"/>
    <n v="5"/>
    <n v="1965"/>
    <n v="1413.97"/>
    <n v="551.03"/>
    <x v="132"/>
    <n v="4.7"/>
    <n v="0"/>
    <x v="1"/>
    <s v="Gold"/>
    <s v="Completed"/>
    <n v="12.97"/>
    <n v="77.59"/>
    <n v="9884"/>
    <n v="11374"/>
    <n v="8509"/>
    <n v="10958"/>
    <x v="3"/>
  </r>
  <r>
    <n v="1489"/>
    <s v="Starbucks Mumbai"/>
    <s v="India"/>
    <x v="2"/>
    <s v="Mumbai"/>
    <s v="West"/>
    <x v="138"/>
    <x v="4"/>
    <x v="3"/>
    <x v="7"/>
    <s v="Vivek"/>
    <n v="59"/>
    <n v="14573"/>
    <n v="9658.1299999999992"/>
    <n v="4914.87"/>
    <x v="208"/>
    <n v="4.7"/>
    <n v="10"/>
    <x v="2"/>
    <s v="Premium"/>
    <s v="Refunded"/>
    <n v="19.07"/>
    <n v="72.87"/>
    <n v="11338"/>
    <n v="15818"/>
    <n v="9922"/>
    <n v="14476"/>
    <x v="2"/>
  </r>
  <r>
    <n v="1490"/>
    <s v="Starbucks Chennai"/>
    <s v="India"/>
    <x v="3"/>
    <s v="Chennai"/>
    <s v="South"/>
    <x v="121"/>
    <x v="1"/>
    <x v="0"/>
    <x v="1"/>
    <s v="Neha"/>
    <n v="40"/>
    <n v="16000"/>
    <n v="9466.7099999999991"/>
    <n v="6533.29"/>
    <x v="223"/>
    <n v="4.3"/>
    <n v="0"/>
    <x v="0"/>
    <s v="Gold"/>
    <s v="Refunded"/>
    <n v="13.08"/>
    <n v="80.27"/>
    <n v="8662"/>
    <n v="10716"/>
    <n v="8099"/>
    <n v="9090"/>
    <x v="2"/>
  </r>
  <r>
    <n v="1491"/>
    <s v="Starbucks Chennai"/>
    <s v="India"/>
    <x v="3"/>
    <s v="Chennai"/>
    <s v="South"/>
    <x v="126"/>
    <x v="4"/>
    <x v="3"/>
    <x v="6"/>
    <s v="Asha"/>
    <n v="8"/>
    <n v="1912"/>
    <n v="1125.3800000000001"/>
    <n v="786.62"/>
    <x v="124"/>
    <n v="4.5"/>
    <n v="10"/>
    <x v="2"/>
    <s v="Premium"/>
    <s v="Refunded"/>
    <n v="13.08"/>
    <n v="80.27"/>
    <n v="12154"/>
    <n v="13587"/>
    <n v="11287"/>
    <n v="12478"/>
    <x v="2"/>
  </r>
  <r>
    <n v="1492"/>
    <s v="Starbucks New Delhi"/>
    <s v="India"/>
    <x v="1"/>
    <s v="New Delhi"/>
    <s v="North"/>
    <x v="74"/>
    <x v="5"/>
    <x v="0"/>
    <x v="0"/>
    <s v="Rahul"/>
    <n v="27"/>
    <n v="7020"/>
    <n v="3981.7"/>
    <n v="3038.3"/>
    <x v="213"/>
    <n v="4.2"/>
    <n v="5"/>
    <x v="1"/>
    <s v="Gold"/>
    <s v="Completed"/>
    <n v="28.61"/>
    <n v="77.2"/>
    <n v="8799"/>
    <n v="11250"/>
    <n v="8136"/>
    <n v="9028"/>
    <x v="0"/>
  </r>
  <r>
    <n v="1493"/>
    <s v="Starbucks Bengaluru"/>
    <s v="India"/>
    <x v="0"/>
    <s v="Bengaluru"/>
    <s v="South"/>
    <x v="142"/>
    <x v="5"/>
    <x v="0"/>
    <x v="0"/>
    <s v="Anu"/>
    <n v="50"/>
    <n v="11500"/>
    <n v="6726.97"/>
    <n v="4773.03"/>
    <x v="113"/>
    <n v="4.7"/>
    <n v="5"/>
    <x v="2"/>
    <s v="Gold"/>
    <s v="Cancelled"/>
    <n v="12.97"/>
    <n v="77.59"/>
    <n v="12598"/>
    <n v="13735"/>
    <n v="11027"/>
    <n v="13309"/>
    <x v="2"/>
  </r>
  <r>
    <n v="1494"/>
    <s v="Starbucks Bengaluru"/>
    <s v="India"/>
    <x v="0"/>
    <s v="Bengaluru"/>
    <s v="South"/>
    <x v="164"/>
    <x v="0"/>
    <x v="1"/>
    <x v="8"/>
    <s v="Vivek"/>
    <n v="42"/>
    <n v="10878"/>
    <n v="7330.24"/>
    <n v="3547.76"/>
    <x v="170"/>
    <n v="3.7"/>
    <n v="5"/>
    <x v="1"/>
    <s v="Regular"/>
    <s v="Completed"/>
    <n v="12.97"/>
    <n v="77.59"/>
    <n v="12355"/>
    <n v="16652"/>
    <n v="11149"/>
    <n v="16257"/>
    <x v="0"/>
  </r>
  <r>
    <n v="1495"/>
    <s v="Starbucks Kochi"/>
    <s v="India"/>
    <x v="4"/>
    <s v="Kochi"/>
    <s v="South"/>
    <x v="104"/>
    <x v="2"/>
    <x v="2"/>
    <x v="3"/>
    <s v="Anu"/>
    <n v="46"/>
    <n v="13800"/>
    <n v="8978.86"/>
    <n v="4821.1400000000003"/>
    <x v="142"/>
    <n v="4.7"/>
    <n v="5"/>
    <x v="2"/>
    <s v="Gold"/>
    <s v="Cancelled"/>
    <n v="9.93"/>
    <n v="76.260000000000005"/>
    <n v="10395"/>
    <n v="15043"/>
    <n v="8413"/>
    <n v="10061"/>
    <x v="2"/>
  </r>
  <r>
    <n v="1496"/>
    <s v="Starbucks Kochi"/>
    <s v="India"/>
    <x v="4"/>
    <s v="Kochi"/>
    <s v="South"/>
    <x v="38"/>
    <x v="5"/>
    <x v="0"/>
    <x v="0"/>
    <s v="Neha"/>
    <n v="45"/>
    <n v="11565"/>
    <n v="9149.24"/>
    <n v="2415.7600000000002"/>
    <x v="219"/>
    <n v="3.6"/>
    <n v="10"/>
    <x v="2"/>
    <s v="Premium"/>
    <s v="Completed"/>
    <n v="9.93"/>
    <n v="76.260000000000005"/>
    <n v="13415"/>
    <n v="16753"/>
    <n v="12094"/>
    <n v="15180"/>
    <x v="3"/>
  </r>
  <r>
    <n v="1497"/>
    <s v="Starbucks Kochi"/>
    <s v="India"/>
    <x v="4"/>
    <s v="Kochi"/>
    <s v="South"/>
    <x v="15"/>
    <x v="3"/>
    <x v="1"/>
    <x v="8"/>
    <s v="Asha"/>
    <n v="27"/>
    <n v="5454"/>
    <n v="4249.97"/>
    <n v="1204.03"/>
    <x v="22"/>
    <n v="4.2"/>
    <n v="0"/>
    <x v="0"/>
    <s v="Gold"/>
    <s v="Completed"/>
    <n v="9.93"/>
    <n v="76.260000000000005"/>
    <n v="9611"/>
    <n v="13724"/>
    <n v="8579"/>
    <n v="11609"/>
    <x v="3"/>
  </r>
  <r>
    <n v="1498"/>
    <s v="Starbucks Kochi"/>
    <s v="India"/>
    <x v="4"/>
    <s v="Kochi"/>
    <s v="South"/>
    <x v="65"/>
    <x v="3"/>
    <x v="1"/>
    <x v="8"/>
    <s v="Neha"/>
    <n v="47"/>
    <n v="9024"/>
    <n v="6166.91"/>
    <n v="2857.09"/>
    <x v="172"/>
    <n v="5"/>
    <n v="10"/>
    <x v="1"/>
    <s v="Regular"/>
    <s v="Completed"/>
    <n v="9.93"/>
    <n v="76.260000000000005"/>
    <n v="7252"/>
    <n v="10614"/>
    <n v="6590"/>
    <n v="8175"/>
    <x v="0"/>
  </r>
  <r>
    <n v="1499"/>
    <s v="Starbucks New Delhi"/>
    <s v="India"/>
    <x v="1"/>
    <s v="New Delhi"/>
    <s v="North"/>
    <x v="37"/>
    <x v="2"/>
    <x v="2"/>
    <x v="3"/>
    <s v="Neha"/>
    <n v="35"/>
    <n v="8330"/>
    <n v="5684.87"/>
    <n v="2645.13"/>
    <x v="18"/>
    <n v="4"/>
    <n v="5"/>
    <x v="0"/>
    <s v="Gold"/>
    <s v="Cancelled"/>
    <n v="28.61"/>
    <n v="77.2"/>
    <n v="9689"/>
    <n v="12529"/>
    <n v="8916"/>
    <n v="893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92317-59B7-4C8E-B0BD-CF2696BA6B92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24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Average of Sales Amount" fld="12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E4373-865E-4C1F-9A01-08DC8D633C4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4:B2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78C48-E9BC-4261-8EFC-B52F9AD1B800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1:E3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3FD43-7777-4364-8914-2424AF771A22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H29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29" baseItem="1"/>
    <dataField name="Average of Daily High Sales" fld="24" subtotal="average" baseField="29" baseItem="1"/>
    <dataField name="Average of Daily Low Sales" fld="25" subtotal="average" baseField="29" baseItem="1"/>
    <dataField name="Average of Daily Close Sales" fld="26" subtotal="average" baseField="2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0FB8D-CBEE-45B2-A220-BD0BCEB9A7F1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1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8BADF-24E4-43FA-B5E1-56DA78E5E3B5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I2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86C74-5AA8-4D32-A325-82E2A0A7FBD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8BDD6-BEB6-4C3F-BC3A-E7F40C1980AC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7" firstHeaderRow="1" firstDataRow="1" firstDataCol="1"/>
  <pivotFields count="30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94612-043D-41CF-B380-1FE41DAED2AC}" name="Table1" displayName="Table1" ref="A1:AB501" totalsRowShown="0">
  <autoFilter ref="A1:AB501" xr:uid="{35B94612-043D-41CF-B380-1FE41DAED2AC}"/>
  <tableColumns count="28">
    <tableColumn id="1" xr3:uid="{36CB68B6-7F24-488B-BF6F-687AA246B9F9}" name="Store ID"/>
    <tableColumn id="2" xr3:uid="{CC5DE88D-A735-4244-9AF1-CDB3246F0778}" name="Store Name"/>
    <tableColumn id="3" xr3:uid="{07F72274-F98D-49A0-AA6F-14EC6014941B}" name="Country"/>
    <tableColumn id="4" xr3:uid="{6F84CDFF-68F6-41F3-B2A0-379EFE9C5CB2}" name="State"/>
    <tableColumn id="5" xr3:uid="{DB9E5F97-BFCC-4226-B52D-7C3258F38815}" name="City"/>
    <tableColumn id="6" xr3:uid="{0A1348D8-0CDE-42B9-9B4B-7D0B3E4822E2}" name="Region"/>
    <tableColumn id="7" xr3:uid="{07A2A9A4-2965-434F-BD4F-3756A70A2A8A}" name="Date" dataDxfId="0"/>
    <tableColumn id="8" xr3:uid="{ECB9BE21-9E3E-47E1-A144-37E90635F122}" name="Month"/>
    <tableColumn id="9" xr3:uid="{F9748AC2-AED0-4F21-B8E3-D7B8FBD18D12}" name="Product Category"/>
    <tableColumn id="10" xr3:uid="{A79954D2-343B-4F24-98F5-6DD48CF5F165}" name="Product Name"/>
    <tableColumn id="11" xr3:uid="{22D7C6D9-AABB-46DD-B108-F8B128E543DF}" name="Salesperson"/>
    <tableColumn id="12" xr3:uid="{2F3EA9EA-E860-48B2-8CF9-65C8EDDB8C16}" name="Units Sold"/>
    <tableColumn id="13" xr3:uid="{75ED3C8E-438D-48D4-86E7-7B7B7C27E864}" name="Sales Amount"/>
    <tableColumn id="14" xr3:uid="{4E435CA6-AD77-41DF-AE5A-93D050D45E97}" name="Cost"/>
    <tableColumn id="15" xr3:uid="{4CFF1F3C-CD13-480C-9F84-438A4D635F72}" name="Profit"/>
    <tableColumn id="16" xr3:uid="{5455BB8D-B676-4C18-83CA-23317181BA86}" name="Customer Visits"/>
    <tableColumn id="17" xr3:uid="{DF6BC8E2-E53E-4D4D-8301-51C064F85674}" name="Avg Rating"/>
    <tableColumn id="18" xr3:uid="{FAEEE957-EA22-4B9A-BBAD-976B857C920A}" name="Discount %"/>
    <tableColumn id="19" xr3:uid="{DC5DB6D7-CADB-4119-AA01-23253C05BD35}" name="Payment Mode"/>
    <tableColumn id="20" xr3:uid="{0C3A8DD2-506C-4065-8004-48A62DFDA784}" name="Membership Type"/>
    <tableColumn id="21" xr3:uid="{8C9062ED-0505-415E-8436-4C3443249D50}" name="Order Status"/>
    <tableColumn id="22" xr3:uid="{C45F9B0A-F1CE-4796-935F-90AC39E3B011}" name="Latitude"/>
    <tableColumn id="23" xr3:uid="{667DBA52-8F1E-422D-A6DD-06078F16E307}" name="Longitude"/>
    <tableColumn id="24" xr3:uid="{A8ECB92E-AB50-4B47-B3BF-CDA2A875CA8C}" name="Daily Open Sales"/>
    <tableColumn id="25" xr3:uid="{AE72E0E5-44BB-4EE7-BD43-4E80BA8DABEF}" name="Daily High Sales"/>
    <tableColumn id="26" xr3:uid="{B898BDFE-6E6E-4041-948B-A781C0B0FC88}" name="Daily Low Sales"/>
    <tableColumn id="27" xr3:uid="{CABA181C-EE1F-4146-A16C-2C01EFFC1E31}" name="Daily Close Sales"/>
    <tableColumn id="28" xr3:uid="{3BD68A1F-B3F1-45DB-987F-71CF6E3B98DE}" name="Lead Stage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94659-82A0-4AA9-8B6A-8B55882C5C54}" name="Table2" displayName="Table2" ref="A1:B7" totalsRowShown="0">
  <autoFilter ref="A1:B7" xr:uid="{B6D94659-82A0-4AA9-8B6A-8B55882C5C54}"/>
  <tableColumns count="2">
    <tableColumn id="1" xr3:uid="{8DAF9E75-F73C-4814-83FB-B81C962D9767}" name="KPI CARDS"/>
    <tableColumn id="2" xr3:uid="{4CCC9BB2-6EDD-486C-A644-2130874AA525}" name="Column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workbookViewId="0">
      <selection activeCell="Q486" sqref="Q486"/>
    </sheetView>
  </sheetViews>
  <sheetFormatPr defaultRowHeight="14.5" x14ac:dyDescent="0.35"/>
  <cols>
    <col min="1" max="1" width="9.54296875" customWidth="1"/>
    <col min="2" max="2" width="17.90625" bestFit="1" customWidth="1"/>
    <col min="3" max="3" width="9.54296875" customWidth="1"/>
    <col min="7" max="7" width="10.08984375" bestFit="1" customWidth="1"/>
    <col min="9" max="9" width="17.36328125" customWidth="1"/>
    <col min="10" max="10" width="14.81640625" customWidth="1"/>
    <col min="11" max="11" width="12.81640625" customWidth="1"/>
    <col min="12" max="12" width="11.1796875" customWidth="1"/>
    <col min="13" max="13" width="14.26953125" customWidth="1"/>
    <col min="16" max="16" width="15.90625" customWidth="1"/>
    <col min="17" max="17" width="11.54296875" customWidth="1"/>
    <col min="18" max="18" width="12.08984375" customWidth="1"/>
    <col min="19" max="19" width="15.6328125" customWidth="1"/>
    <col min="20" max="20" width="17.90625" customWidth="1"/>
    <col min="21" max="21" width="13.453125" customWidth="1"/>
    <col min="22" max="22" width="9.7265625" customWidth="1"/>
    <col min="23" max="23" width="11.08984375" customWidth="1"/>
    <col min="24" max="24" width="16.54296875" customWidth="1"/>
    <col min="25" max="25" width="15.7265625" customWidth="1"/>
    <col min="26" max="26" width="15.36328125" customWidth="1"/>
    <col min="27" max="27" width="16.453125" customWidth="1"/>
    <col min="28" max="28" width="11.7265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1000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">
        <v>46081</v>
      </c>
      <c r="H2" t="s">
        <v>33</v>
      </c>
      <c r="I2" t="s">
        <v>34</v>
      </c>
      <c r="J2" t="s">
        <v>35</v>
      </c>
      <c r="K2" t="s">
        <v>36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37</v>
      </c>
      <c r="T2" t="s">
        <v>38</v>
      </c>
      <c r="U2" t="s">
        <v>39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40</v>
      </c>
    </row>
    <row r="3" spans="1:28" x14ac:dyDescent="0.35">
      <c r="A3">
        <v>1001</v>
      </c>
      <c r="B3" t="s">
        <v>41</v>
      </c>
      <c r="C3" t="s">
        <v>29</v>
      </c>
      <c r="D3" t="s">
        <v>42</v>
      </c>
      <c r="E3" t="s">
        <v>43</v>
      </c>
      <c r="F3" t="s">
        <v>44</v>
      </c>
      <c r="G3" s="1">
        <v>46046</v>
      </c>
      <c r="H3" t="s">
        <v>45</v>
      </c>
      <c r="I3" t="s">
        <v>34</v>
      </c>
      <c r="J3" t="s">
        <v>46</v>
      </c>
      <c r="K3" t="s">
        <v>47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48</v>
      </c>
      <c r="T3" t="s">
        <v>49</v>
      </c>
      <c r="U3" t="s">
        <v>39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40</v>
      </c>
    </row>
    <row r="4" spans="1:28" x14ac:dyDescent="0.35">
      <c r="A4">
        <v>1002</v>
      </c>
      <c r="B4" t="s">
        <v>50</v>
      </c>
      <c r="C4" t="s">
        <v>29</v>
      </c>
      <c r="D4" t="s">
        <v>51</v>
      </c>
      <c r="E4" t="s">
        <v>52</v>
      </c>
      <c r="F4" t="s">
        <v>53</v>
      </c>
      <c r="G4" s="1">
        <v>46153</v>
      </c>
      <c r="H4" t="s">
        <v>54</v>
      </c>
      <c r="I4" t="s">
        <v>34</v>
      </c>
      <c r="J4" t="s">
        <v>35</v>
      </c>
      <c r="K4" t="s">
        <v>47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37</v>
      </c>
      <c r="T4" t="s">
        <v>49</v>
      </c>
      <c r="U4" t="s">
        <v>55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56</v>
      </c>
    </row>
    <row r="5" spans="1:28" x14ac:dyDescent="0.35">
      <c r="A5">
        <v>1003</v>
      </c>
      <c r="B5" t="s">
        <v>41</v>
      </c>
      <c r="C5" t="s">
        <v>29</v>
      </c>
      <c r="D5" t="s">
        <v>42</v>
      </c>
      <c r="E5" t="s">
        <v>43</v>
      </c>
      <c r="F5" t="s">
        <v>44</v>
      </c>
      <c r="G5" s="1">
        <v>46034</v>
      </c>
      <c r="H5" t="s">
        <v>45</v>
      </c>
      <c r="I5" t="s">
        <v>57</v>
      </c>
      <c r="J5" t="s">
        <v>58</v>
      </c>
      <c r="K5" t="s">
        <v>59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48</v>
      </c>
      <c r="T5" t="s">
        <v>38</v>
      </c>
      <c r="U5" t="s">
        <v>55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56</v>
      </c>
    </row>
    <row r="6" spans="1:28" x14ac:dyDescent="0.35">
      <c r="A6">
        <v>1004</v>
      </c>
      <c r="B6" t="s">
        <v>60</v>
      </c>
      <c r="C6" t="s">
        <v>29</v>
      </c>
      <c r="D6" t="s">
        <v>61</v>
      </c>
      <c r="E6" t="s">
        <v>62</v>
      </c>
      <c r="F6" t="s">
        <v>32</v>
      </c>
      <c r="G6" s="1">
        <v>46078</v>
      </c>
      <c r="H6" t="s">
        <v>33</v>
      </c>
      <c r="I6" t="s">
        <v>34</v>
      </c>
      <c r="J6" t="s">
        <v>46</v>
      </c>
      <c r="K6" t="s">
        <v>47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48</v>
      </c>
      <c r="T6" t="s">
        <v>38</v>
      </c>
      <c r="U6" t="s">
        <v>39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63</v>
      </c>
    </row>
    <row r="7" spans="1:28" x14ac:dyDescent="0.35">
      <c r="A7">
        <v>1005</v>
      </c>
      <c r="B7" t="s">
        <v>60</v>
      </c>
      <c r="C7" t="s">
        <v>29</v>
      </c>
      <c r="D7" t="s">
        <v>61</v>
      </c>
      <c r="E7" t="s">
        <v>62</v>
      </c>
      <c r="F7" t="s">
        <v>32</v>
      </c>
      <c r="G7" s="1">
        <v>46049</v>
      </c>
      <c r="H7" t="s">
        <v>45</v>
      </c>
      <c r="I7" t="s">
        <v>34</v>
      </c>
      <c r="J7" t="s">
        <v>46</v>
      </c>
      <c r="K7" t="s">
        <v>59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64</v>
      </c>
      <c r="T7" t="s">
        <v>38</v>
      </c>
      <c r="U7" t="s">
        <v>39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63</v>
      </c>
    </row>
    <row r="8" spans="1:28" x14ac:dyDescent="0.35">
      <c r="A8">
        <v>1006</v>
      </c>
      <c r="B8" t="s">
        <v>65</v>
      </c>
      <c r="C8" t="s">
        <v>29</v>
      </c>
      <c r="D8" t="s">
        <v>66</v>
      </c>
      <c r="E8" t="s">
        <v>67</v>
      </c>
      <c r="F8" t="s">
        <v>32</v>
      </c>
      <c r="G8" s="1">
        <v>46181</v>
      </c>
      <c r="H8" t="s">
        <v>68</v>
      </c>
      <c r="I8" t="s">
        <v>69</v>
      </c>
      <c r="J8" t="s">
        <v>70</v>
      </c>
      <c r="K8" t="s">
        <v>36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37</v>
      </c>
      <c r="T8" t="s">
        <v>38</v>
      </c>
      <c r="U8" t="s">
        <v>55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40</v>
      </c>
    </row>
    <row r="9" spans="1:28" x14ac:dyDescent="0.35">
      <c r="A9">
        <v>1007</v>
      </c>
      <c r="B9" t="s">
        <v>50</v>
      </c>
      <c r="C9" t="s">
        <v>29</v>
      </c>
      <c r="D9" t="s">
        <v>51</v>
      </c>
      <c r="E9" t="s">
        <v>52</v>
      </c>
      <c r="F9" t="s">
        <v>53</v>
      </c>
      <c r="G9" s="1">
        <v>46104</v>
      </c>
      <c r="H9" t="s">
        <v>71</v>
      </c>
      <c r="I9" t="s">
        <v>69</v>
      </c>
      <c r="J9" t="s">
        <v>72</v>
      </c>
      <c r="K9" t="s">
        <v>73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64</v>
      </c>
      <c r="T9" t="s">
        <v>49</v>
      </c>
      <c r="U9" t="s">
        <v>55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56</v>
      </c>
    </row>
    <row r="10" spans="1:28" x14ac:dyDescent="0.35">
      <c r="A10">
        <v>1008</v>
      </c>
      <c r="B10" t="s">
        <v>60</v>
      </c>
      <c r="C10" t="s">
        <v>29</v>
      </c>
      <c r="D10" t="s">
        <v>61</v>
      </c>
      <c r="E10" t="s">
        <v>62</v>
      </c>
      <c r="F10" t="s">
        <v>32</v>
      </c>
      <c r="G10" s="1">
        <v>46049</v>
      </c>
      <c r="H10" t="s">
        <v>45</v>
      </c>
      <c r="I10" t="s">
        <v>57</v>
      </c>
      <c r="J10" t="s">
        <v>58</v>
      </c>
      <c r="K10" t="s">
        <v>59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64</v>
      </c>
      <c r="T10" t="s">
        <v>49</v>
      </c>
      <c r="U10" t="s">
        <v>74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56</v>
      </c>
    </row>
    <row r="11" spans="1:28" x14ac:dyDescent="0.35">
      <c r="A11">
        <v>1009</v>
      </c>
      <c r="B11" t="s">
        <v>50</v>
      </c>
      <c r="C11" t="s">
        <v>29</v>
      </c>
      <c r="D11" t="s">
        <v>51</v>
      </c>
      <c r="E11" t="s">
        <v>52</v>
      </c>
      <c r="F11" t="s">
        <v>53</v>
      </c>
      <c r="G11" s="1">
        <v>46130</v>
      </c>
      <c r="H11" t="s">
        <v>75</v>
      </c>
      <c r="I11" t="s">
        <v>69</v>
      </c>
      <c r="J11" t="s">
        <v>70</v>
      </c>
      <c r="K11" t="s">
        <v>47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64</v>
      </c>
      <c r="T11" t="s">
        <v>76</v>
      </c>
      <c r="U11" t="s">
        <v>39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63</v>
      </c>
    </row>
    <row r="12" spans="1:28" x14ac:dyDescent="0.35">
      <c r="A12">
        <v>1010</v>
      </c>
      <c r="B12" t="s">
        <v>60</v>
      </c>
      <c r="C12" t="s">
        <v>29</v>
      </c>
      <c r="D12" t="s">
        <v>61</v>
      </c>
      <c r="E12" t="s">
        <v>62</v>
      </c>
      <c r="F12" t="s">
        <v>32</v>
      </c>
      <c r="G12" s="1">
        <v>46197</v>
      </c>
      <c r="H12" t="s">
        <v>68</v>
      </c>
      <c r="I12" t="s">
        <v>34</v>
      </c>
      <c r="J12" t="s">
        <v>77</v>
      </c>
      <c r="K12" t="s">
        <v>78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37</v>
      </c>
      <c r="T12" t="s">
        <v>76</v>
      </c>
      <c r="U12" t="s">
        <v>74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79</v>
      </c>
    </row>
    <row r="13" spans="1:28" x14ac:dyDescent="0.35">
      <c r="A13">
        <v>1011</v>
      </c>
      <c r="B13" t="s">
        <v>50</v>
      </c>
      <c r="C13" t="s">
        <v>29</v>
      </c>
      <c r="D13" t="s">
        <v>51</v>
      </c>
      <c r="E13" t="s">
        <v>52</v>
      </c>
      <c r="F13" t="s">
        <v>53</v>
      </c>
      <c r="G13" s="1">
        <v>46091</v>
      </c>
      <c r="H13" t="s">
        <v>71</v>
      </c>
      <c r="I13" t="s">
        <v>80</v>
      </c>
      <c r="J13" t="s">
        <v>81</v>
      </c>
      <c r="K13" t="s">
        <v>73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64</v>
      </c>
      <c r="T13" t="s">
        <v>76</v>
      </c>
      <c r="U13" t="s">
        <v>74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40</v>
      </c>
    </row>
    <row r="14" spans="1:28" x14ac:dyDescent="0.35">
      <c r="A14">
        <v>1012</v>
      </c>
      <c r="B14" t="s">
        <v>60</v>
      </c>
      <c r="C14" t="s">
        <v>29</v>
      </c>
      <c r="D14" t="s">
        <v>61</v>
      </c>
      <c r="E14" t="s">
        <v>62</v>
      </c>
      <c r="F14" t="s">
        <v>32</v>
      </c>
      <c r="G14" s="1">
        <v>46068</v>
      </c>
      <c r="H14" t="s">
        <v>33</v>
      </c>
      <c r="I14" t="s">
        <v>69</v>
      </c>
      <c r="J14" t="s">
        <v>72</v>
      </c>
      <c r="K14" t="s">
        <v>47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64</v>
      </c>
      <c r="T14" t="s">
        <v>76</v>
      </c>
      <c r="U14" t="s">
        <v>74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79</v>
      </c>
    </row>
    <row r="15" spans="1:28" x14ac:dyDescent="0.35">
      <c r="A15">
        <v>1013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s="1">
        <v>46104</v>
      </c>
      <c r="H15" t="s">
        <v>71</v>
      </c>
      <c r="I15" t="s">
        <v>80</v>
      </c>
      <c r="J15" t="s">
        <v>82</v>
      </c>
      <c r="K15" t="s">
        <v>78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64</v>
      </c>
      <c r="T15" t="s">
        <v>76</v>
      </c>
      <c r="U15" t="s">
        <v>74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79</v>
      </c>
    </row>
    <row r="16" spans="1:28" x14ac:dyDescent="0.35">
      <c r="A16">
        <v>1014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s="1">
        <v>46088</v>
      </c>
      <c r="H16" t="s">
        <v>71</v>
      </c>
      <c r="I16" t="s">
        <v>57</v>
      </c>
      <c r="J16" t="s">
        <v>58</v>
      </c>
      <c r="K16" t="s">
        <v>47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64</v>
      </c>
      <c r="T16" t="s">
        <v>49</v>
      </c>
      <c r="U16" t="s">
        <v>55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63</v>
      </c>
    </row>
    <row r="17" spans="1:28" x14ac:dyDescent="0.35">
      <c r="A17">
        <v>1015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s="1">
        <v>46109</v>
      </c>
      <c r="H17" t="s">
        <v>71</v>
      </c>
      <c r="I17" t="s">
        <v>57</v>
      </c>
      <c r="J17" t="s">
        <v>83</v>
      </c>
      <c r="K17" t="s">
        <v>36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37</v>
      </c>
      <c r="T17" t="s">
        <v>76</v>
      </c>
      <c r="U17" t="s">
        <v>39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63</v>
      </c>
    </row>
    <row r="18" spans="1:28" x14ac:dyDescent="0.35">
      <c r="A18">
        <v>1016</v>
      </c>
      <c r="B18" t="s">
        <v>50</v>
      </c>
      <c r="C18" t="s">
        <v>29</v>
      </c>
      <c r="D18" t="s">
        <v>51</v>
      </c>
      <c r="E18" t="s">
        <v>52</v>
      </c>
      <c r="F18" t="s">
        <v>53</v>
      </c>
      <c r="G18" s="1">
        <v>46129</v>
      </c>
      <c r="H18" t="s">
        <v>75</v>
      </c>
      <c r="I18" t="s">
        <v>80</v>
      </c>
      <c r="J18" t="s">
        <v>82</v>
      </c>
      <c r="K18" t="s">
        <v>78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37</v>
      </c>
      <c r="T18" t="s">
        <v>38</v>
      </c>
      <c r="U18" t="s">
        <v>74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40</v>
      </c>
    </row>
    <row r="19" spans="1:28" x14ac:dyDescent="0.35">
      <c r="A19">
        <v>1017</v>
      </c>
      <c r="B19" t="s">
        <v>60</v>
      </c>
      <c r="C19" t="s">
        <v>29</v>
      </c>
      <c r="D19" t="s">
        <v>61</v>
      </c>
      <c r="E19" t="s">
        <v>62</v>
      </c>
      <c r="F19" t="s">
        <v>32</v>
      </c>
      <c r="G19" s="1">
        <v>46183</v>
      </c>
      <c r="H19" t="s">
        <v>68</v>
      </c>
      <c r="I19" t="s">
        <v>57</v>
      </c>
      <c r="J19" t="s">
        <v>58</v>
      </c>
      <c r="K19" t="s">
        <v>78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48</v>
      </c>
      <c r="T19" t="s">
        <v>38</v>
      </c>
      <c r="U19" t="s">
        <v>74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40</v>
      </c>
    </row>
    <row r="20" spans="1:28" x14ac:dyDescent="0.35">
      <c r="A20">
        <v>1018</v>
      </c>
      <c r="B20" t="s">
        <v>50</v>
      </c>
      <c r="C20" t="s">
        <v>29</v>
      </c>
      <c r="D20" t="s">
        <v>51</v>
      </c>
      <c r="E20" t="s">
        <v>52</v>
      </c>
      <c r="F20" t="s">
        <v>53</v>
      </c>
      <c r="G20" s="1">
        <v>46076</v>
      </c>
      <c r="H20" t="s">
        <v>33</v>
      </c>
      <c r="I20" t="s">
        <v>57</v>
      </c>
      <c r="J20" t="s">
        <v>83</v>
      </c>
      <c r="K20" t="s">
        <v>47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48</v>
      </c>
      <c r="T20" t="s">
        <v>49</v>
      </c>
      <c r="U20" t="s">
        <v>74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79</v>
      </c>
    </row>
    <row r="21" spans="1:28" x14ac:dyDescent="0.35">
      <c r="A21">
        <v>1019</v>
      </c>
      <c r="B21" t="s">
        <v>60</v>
      </c>
      <c r="C21" t="s">
        <v>29</v>
      </c>
      <c r="D21" t="s">
        <v>61</v>
      </c>
      <c r="E21" t="s">
        <v>62</v>
      </c>
      <c r="F21" t="s">
        <v>32</v>
      </c>
      <c r="G21" s="1">
        <v>46058</v>
      </c>
      <c r="H21" t="s">
        <v>33</v>
      </c>
      <c r="I21" t="s">
        <v>80</v>
      </c>
      <c r="J21" t="s">
        <v>82</v>
      </c>
      <c r="K21" t="s">
        <v>78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48</v>
      </c>
      <c r="T21" t="s">
        <v>49</v>
      </c>
      <c r="U21" t="s">
        <v>39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56</v>
      </c>
    </row>
    <row r="22" spans="1:28" x14ac:dyDescent="0.35">
      <c r="A22">
        <v>1020</v>
      </c>
      <c r="B22" t="s">
        <v>41</v>
      </c>
      <c r="C22" t="s">
        <v>29</v>
      </c>
      <c r="D22" t="s">
        <v>42</v>
      </c>
      <c r="E22" t="s">
        <v>43</v>
      </c>
      <c r="F22" t="s">
        <v>44</v>
      </c>
      <c r="G22" s="1">
        <v>46033</v>
      </c>
      <c r="H22" t="s">
        <v>45</v>
      </c>
      <c r="I22" t="s">
        <v>80</v>
      </c>
      <c r="J22" t="s">
        <v>82</v>
      </c>
      <c r="K22" t="s">
        <v>59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37</v>
      </c>
      <c r="T22" t="s">
        <v>38</v>
      </c>
      <c r="U22" t="s">
        <v>39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63</v>
      </c>
    </row>
    <row r="23" spans="1:28" x14ac:dyDescent="0.35">
      <c r="A23">
        <v>1021</v>
      </c>
      <c r="B23" t="s">
        <v>65</v>
      </c>
      <c r="C23" t="s">
        <v>29</v>
      </c>
      <c r="D23" t="s">
        <v>66</v>
      </c>
      <c r="E23" t="s">
        <v>67</v>
      </c>
      <c r="F23" t="s">
        <v>32</v>
      </c>
      <c r="G23" s="1">
        <v>46151</v>
      </c>
      <c r="H23" t="s">
        <v>54</v>
      </c>
      <c r="I23" t="s">
        <v>80</v>
      </c>
      <c r="J23" t="s">
        <v>81</v>
      </c>
      <c r="K23" t="s">
        <v>78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37</v>
      </c>
      <c r="T23" t="s">
        <v>49</v>
      </c>
      <c r="U23" t="s">
        <v>74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79</v>
      </c>
    </row>
    <row r="24" spans="1:28" x14ac:dyDescent="0.35">
      <c r="A24">
        <v>1022</v>
      </c>
      <c r="B24" t="s">
        <v>60</v>
      </c>
      <c r="C24" t="s">
        <v>29</v>
      </c>
      <c r="D24" t="s">
        <v>61</v>
      </c>
      <c r="E24" t="s">
        <v>62</v>
      </c>
      <c r="F24" t="s">
        <v>32</v>
      </c>
      <c r="G24" s="1">
        <v>46091</v>
      </c>
      <c r="H24" t="s">
        <v>71</v>
      </c>
      <c r="I24" t="s">
        <v>34</v>
      </c>
      <c r="J24" t="s">
        <v>46</v>
      </c>
      <c r="K24" t="s">
        <v>78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64</v>
      </c>
      <c r="T24" t="s">
        <v>38</v>
      </c>
      <c r="U24" t="s">
        <v>39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79</v>
      </c>
    </row>
    <row r="25" spans="1:28" x14ac:dyDescent="0.35">
      <c r="A25">
        <v>1023</v>
      </c>
      <c r="B25" t="s">
        <v>50</v>
      </c>
      <c r="C25" t="s">
        <v>29</v>
      </c>
      <c r="D25" t="s">
        <v>51</v>
      </c>
      <c r="E25" t="s">
        <v>52</v>
      </c>
      <c r="F25" t="s">
        <v>53</v>
      </c>
      <c r="G25" s="1">
        <v>46077</v>
      </c>
      <c r="H25" t="s">
        <v>33</v>
      </c>
      <c r="I25" t="s">
        <v>57</v>
      </c>
      <c r="J25" t="s">
        <v>83</v>
      </c>
      <c r="K25" t="s">
        <v>47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37</v>
      </c>
      <c r="T25" t="s">
        <v>76</v>
      </c>
      <c r="U25" t="s">
        <v>55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79</v>
      </c>
    </row>
    <row r="26" spans="1:28" x14ac:dyDescent="0.35">
      <c r="A26">
        <v>1024</v>
      </c>
      <c r="B26" t="s">
        <v>50</v>
      </c>
      <c r="C26" t="s">
        <v>29</v>
      </c>
      <c r="D26" t="s">
        <v>51</v>
      </c>
      <c r="E26" t="s">
        <v>52</v>
      </c>
      <c r="F26" t="s">
        <v>53</v>
      </c>
      <c r="G26" s="1">
        <v>46110</v>
      </c>
      <c r="H26" t="s">
        <v>71</v>
      </c>
      <c r="I26" t="s">
        <v>69</v>
      </c>
      <c r="J26" t="s">
        <v>72</v>
      </c>
      <c r="K26" t="s">
        <v>78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48</v>
      </c>
      <c r="T26" t="s">
        <v>76</v>
      </c>
      <c r="U26" t="s">
        <v>74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40</v>
      </c>
    </row>
    <row r="27" spans="1:28" x14ac:dyDescent="0.35">
      <c r="A27">
        <v>1025</v>
      </c>
      <c r="B27" t="s">
        <v>41</v>
      </c>
      <c r="C27" t="s">
        <v>29</v>
      </c>
      <c r="D27" t="s">
        <v>42</v>
      </c>
      <c r="E27" t="s">
        <v>43</v>
      </c>
      <c r="F27" t="s">
        <v>44</v>
      </c>
      <c r="G27" s="1">
        <v>46149</v>
      </c>
      <c r="H27" t="s">
        <v>54</v>
      </c>
      <c r="I27" t="s">
        <v>69</v>
      </c>
      <c r="J27" t="s">
        <v>70</v>
      </c>
      <c r="K27" t="s">
        <v>36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64</v>
      </c>
      <c r="T27" t="s">
        <v>38</v>
      </c>
      <c r="U27" t="s">
        <v>74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40</v>
      </c>
    </row>
    <row r="28" spans="1:28" x14ac:dyDescent="0.35">
      <c r="A28">
        <v>1026</v>
      </c>
      <c r="B28" t="s">
        <v>65</v>
      </c>
      <c r="C28" t="s">
        <v>29</v>
      </c>
      <c r="D28" t="s">
        <v>66</v>
      </c>
      <c r="E28" t="s">
        <v>67</v>
      </c>
      <c r="F28" t="s">
        <v>32</v>
      </c>
      <c r="G28" s="1">
        <v>46079</v>
      </c>
      <c r="H28" t="s">
        <v>33</v>
      </c>
      <c r="I28" t="s">
        <v>57</v>
      </c>
      <c r="J28" t="s">
        <v>58</v>
      </c>
      <c r="K28" t="s">
        <v>59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48</v>
      </c>
      <c r="T28" t="s">
        <v>76</v>
      </c>
      <c r="U28" t="s">
        <v>39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56</v>
      </c>
    </row>
    <row r="29" spans="1:28" x14ac:dyDescent="0.35">
      <c r="A29">
        <v>1027</v>
      </c>
      <c r="B29" t="s">
        <v>50</v>
      </c>
      <c r="C29" t="s">
        <v>29</v>
      </c>
      <c r="D29" t="s">
        <v>51</v>
      </c>
      <c r="E29" t="s">
        <v>52</v>
      </c>
      <c r="F29" t="s">
        <v>53</v>
      </c>
      <c r="G29" s="1">
        <v>46111</v>
      </c>
      <c r="H29" t="s">
        <v>71</v>
      </c>
      <c r="I29" t="s">
        <v>80</v>
      </c>
      <c r="J29" t="s">
        <v>82</v>
      </c>
      <c r="K29" t="s">
        <v>47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48</v>
      </c>
      <c r="T29" t="s">
        <v>38</v>
      </c>
      <c r="U29" t="s">
        <v>55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79</v>
      </c>
    </row>
    <row r="30" spans="1:28" x14ac:dyDescent="0.35">
      <c r="A30">
        <v>1028</v>
      </c>
      <c r="B30" t="s">
        <v>50</v>
      </c>
      <c r="C30" t="s">
        <v>29</v>
      </c>
      <c r="D30" t="s">
        <v>51</v>
      </c>
      <c r="E30" t="s">
        <v>52</v>
      </c>
      <c r="F30" t="s">
        <v>53</v>
      </c>
      <c r="G30" s="1">
        <v>46163</v>
      </c>
      <c r="H30" t="s">
        <v>54</v>
      </c>
      <c r="I30" t="s">
        <v>34</v>
      </c>
      <c r="J30" t="s">
        <v>46</v>
      </c>
      <c r="K30" t="s">
        <v>59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37</v>
      </c>
      <c r="T30" t="s">
        <v>38</v>
      </c>
      <c r="U30" t="s">
        <v>74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56</v>
      </c>
    </row>
    <row r="31" spans="1:28" x14ac:dyDescent="0.35">
      <c r="A31">
        <v>1029</v>
      </c>
      <c r="B31" t="s">
        <v>41</v>
      </c>
      <c r="C31" t="s">
        <v>29</v>
      </c>
      <c r="D31" t="s">
        <v>42</v>
      </c>
      <c r="E31" t="s">
        <v>43</v>
      </c>
      <c r="F31" t="s">
        <v>44</v>
      </c>
      <c r="G31" s="1">
        <v>46072</v>
      </c>
      <c r="H31" t="s">
        <v>33</v>
      </c>
      <c r="I31" t="s">
        <v>80</v>
      </c>
      <c r="J31" t="s">
        <v>81</v>
      </c>
      <c r="K31" t="s">
        <v>59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48</v>
      </c>
      <c r="T31" t="s">
        <v>76</v>
      </c>
      <c r="U31" t="s">
        <v>39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40</v>
      </c>
    </row>
    <row r="32" spans="1:28" x14ac:dyDescent="0.35">
      <c r="A32">
        <v>1030</v>
      </c>
      <c r="B32" t="s">
        <v>41</v>
      </c>
      <c r="C32" t="s">
        <v>29</v>
      </c>
      <c r="D32" t="s">
        <v>42</v>
      </c>
      <c r="E32" t="s">
        <v>43</v>
      </c>
      <c r="F32" t="s">
        <v>44</v>
      </c>
      <c r="G32" s="1">
        <v>46040</v>
      </c>
      <c r="H32" t="s">
        <v>45</v>
      </c>
      <c r="I32" t="s">
        <v>34</v>
      </c>
      <c r="J32" t="s">
        <v>35</v>
      </c>
      <c r="K32" t="s">
        <v>73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64</v>
      </c>
      <c r="T32" t="s">
        <v>76</v>
      </c>
      <c r="U32" t="s">
        <v>55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56</v>
      </c>
    </row>
    <row r="33" spans="1:28" x14ac:dyDescent="0.35">
      <c r="A33">
        <v>1031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s="1">
        <v>46169</v>
      </c>
      <c r="H33" t="s">
        <v>54</v>
      </c>
      <c r="I33" t="s">
        <v>57</v>
      </c>
      <c r="J33" t="s">
        <v>58</v>
      </c>
      <c r="K33" t="s">
        <v>59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37</v>
      </c>
      <c r="T33" t="s">
        <v>49</v>
      </c>
      <c r="U33" t="s">
        <v>39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79</v>
      </c>
    </row>
    <row r="34" spans="1:28" x14ac:dyDescent="0.35">
      <c r="A34">
        <v>1032</v>
      </c>
      <c r="B34" t="s">
        <v>50</v>
      </c>
      <c r="C34" t="s">
        <v>29</v>
      </c>
      <c r="D34" t="s">
        <v>51</v>
      </c>
      <c r="E34" t="s">
        <v>52</v>
      </c>
      <c r="F34" t="s">
        <v>53</v>
      </c>
      <c r="G34" s="1">
        <v>46164</v>
      </c>
      <c r="H34" t="s">
        <v>54</v>
      </c>
      <c r="I34" t="s">
        <v>57</v>
      </c>
      <c r="J34" t="s">
        <v>83</v>
      </c>
      <c r="K34" t="s">
        <v>59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64</v>
      </c>
      <c r="T34" t="s">
        <v>38</v>
      </c>
      <c r="U34" t="s">
        <v>39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63</v>
      </c>
    </row>
    <row r="35" spans="1:28" x14ac:dyDescent="0.35">
      <c r="A35">
        <v>1033</v>
      </c>
      <c r="B35" t="s">
        <v>41</v>
      </c>
      <c r="C35" t="s">
        <v>29</v>
      </c>
      <c r="D35" t="s">
        <v>42</v>
      </c>
      <c r="E35" t="s">
        <v>43</v>
      </c>
      <c r="F35" t="s">
        <v>44</v>
      </c>
      <c r="G35" s="1">
        <v>46135</v>
      </c>
      <c r="H35" t="s">
        <v>75</v>
      </c>
      <c r="I35" t="s">
        <v>34</v>
      </c>
      <c r="J35" t="s">
        <v>46</v>
      </c>
      <c r="K35" t="s">
        <v>78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64</v>
      </c>
      <c r="T35" t="s">
        <v>49</v>
      </c>
      <c r="U35" t="s">
        <v>74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63</v>
      </c>
    </row>
    <row r="36" spans="1:28" x14ac:dyDescent="0.35">
      <c r="A36">
        <v>1034</v>
      </c>
      <c r="B36" t="s">
        <v>41</v>
      </c>
      <c r="C36" t="s">
        <v>29</v>
      </c>
      <c r="D36" t="s">
        <v>42</v>
      </c>
      <c r="E36" t="s">
        <v>43</v>
      </c>
      <c r="F36" t="s">
        <v>44</v>
      </c>
      <c r="G36" s="1">
        <v>46188</v>
      </c>
      <c r="H36" t="s">
        <v>68</v>
      </c>
      <c r="I36" t="s">
        <v>34</v>
      </c>
      <c r="J36" t="s">
        <v>77</v>
      </c>
      <c r="K36" t="s">
        <v>36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64</v>
      </c>
      <c r="T36" t="s">
        <v>38</v>
      </c>
      <c r="U36" t="s">
        <v>39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56</v>
      </c>
    </row>
    <row r="37" spans="1:28" x14ac:dyDescent="0.35">
      <c r="A37">
        <v>1035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s="1">
        <v>46068</v>
      </c>
      <c r="H37" t="s">
        <v>33</v>
      </c>
      <c r="I37" t="s">
        <v>69</v>
      </c>
      <c r="J37" t="s">
        <v>70</v>
      </c>
      <c r="K37" t="s">
        <v>78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48</v>
      </c>
      <c r="T37" t="s">
        <v>49</v>
      </c>
      <c r="U37" t="s">
        <v>55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79</v>
      </c>
    </row>
    <row r="38" spans="1:28" x14ac:dyDescent="0.35">
      <c r="A38">
        <v>1036</v>
      </c>
      <c r="B38" t="s">
        <v>50</v>
      </c>
      <c r="C38" t="s">
        <v>29</v>
      </c>
      <c r="D38" t="s">
        <v>51</v>
      </c>
      <c r="E38" t="s">
        <v>52</v>
      </c>
      <c r="F38" t="s">
        <v>53</v>
      </c>
      <c r="G38" s="1">
        <v>46042</v>
      </c>
      <c r="H38" t="s">
        <v>45</v>
      </c>
      <c r="I38" t="s">
        <v>57</v>
      </c>
      <c r="J38" t="s">
        <v>83</v>
      </c>
      <c r="K38" t="s">
        <v>47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64</v>
      </c>
      <c r="T38" t="s">
        <v>76</v>
      </c>
      <c r="U38" t="s">
        <v>74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40</v>
      </c>
    </row>
    <row r="39" spans="1:28" x14ac:dyDescent="0.35">
      <c r="A39">
        <v>1037</v>
      </c>
      <c r="B39" t="s">
        <v>50</v>
      </c>
      <c r="C39" t="s">
        <v>29</v>
      </c>
      <c r="D39" t="s">
        <v>51</v>
      </c>
      <c r="E39" t="s">
        <v>52</v>
      </c>
      <c r="F39" t="s">
        <v>53</v>
      </c>
      <c r="G39" s="1">
        <v>46091</v>
      </c>
      <c r="H39" t="s">
        <v>71</v>
      </c>
      <c r="I39" t="s">
        <v>34</v>
      </c>
      <c r="J39" t="s">
        <v>77</v>
      </c>
      <c r="K39" t="s">
        <v>47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48</v>
      </c>
      <c r="T39" t="s">
        <v>76</v>
      </c>
      <c r="U39" t="s">
        <v>39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56</v>
      </c>
    </row>
    <row r="40" spans="1:28" x14ac:dyDescent="0.35">
      <c r="A40">
        <v>1038</v>
      </c>
      <c r="B40" t="s">
        <v>50</v>
      </c>
      <c r="C40" t="s">
        <v>29</v>
      </c>
      <c r="D40" t="s">
        <v>51</v>
      </c>
      <c r="E40" t="s">
        <v>52</v>
      </c>
      <c r="F40" t="s">
        <v>53</v>
      </c>
      <c r="G40" s="1">
        <v>46142</v>
      </c>
      <c r="H40" t="s">
        <v>75</v>
      </c>
      <c r="I40" t="s">
        <v>69</v>
      </c>
      <c r="J40" t="s">
        <v>72</v>
      </c>
      <c r="K40" t="s">
        <v>78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37</v>
      </c>
      <c r="T40" t="s">
        <v>38</v>
      </c>
      <c r="U40" t="s">
        <v>74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63</v>
      </c>
    </row>
    <row r="41" spans="1:28" x14ac:dyDescent="0.35">
      <c r="A41">
        <v>1039</v>
      </c>
      <c r="B41" t="s">
        <v>41</v>
      </c>
      <c r="C41" t="s">
        <v>29</v>
      </c>
      <c r="D41" t="s">
        <v>42</v>
      </c>
      <c r="E41" t="s">
        <v>43</v>
      </c>
      <c r="F41" t="s">
        <v>44</v>
      </c>
      <c r="G41" s="1">
        <v>46067</v>
      </c>
      <c r="H41" t="s">
        <v>33</v>
      </c>
      <c r="I41" t="s">
        <v>69</v>
      </c>
      <c r="J41" t="s">
        <v>72</v>
      </c>
      <c r="K41" t="s">
        <v>73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37</v>
      </c>
      <c r="T41" t="s">
        <v>38</v>
      </c>
      <c r="U41" t="s">
        <v>55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63</v>
      </c>
    </row>
    <row r="42" spans="1:28" x14ac:dyDescent="0.35">
      <c r="A42">
        <v>1040</v>
      </c>
      <c r="B42" t="s">
        <v>60</v>
      </c>
      <c r="C42" t="s">
        <v>29</v>
      </c>
      <c r="D42" t="s">
        <v>61</v>
      </c>
      <c r="E42" t="s">
        <v>62</v>
      </c>
      <c r="F42" t="s">
        <v>32</v>
      </c>
      <c r="G42" s="1">
        <v>46058</v>
      </c>
      <c r="H42" t="s">
        <v>33</v>
      </c>
      <c r="I42" t="s">
        <v>69</v>
      </c>
      <c r="J42" t="s">
        <v>70</v>
      </c>
      <c r="K42" t="s">
        <v>73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48</v>
      </c>
      <c r="T42" t="s">
        <v>49</v>
      </c>
      <c r="U42" t="s">
        <v>74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40</v>
      </c>
    </row>
    <row r="43" spans="1:28" x14ac:dyDescent="0.35">
      <c r="A43">
        <v>1041</v>
      </c>
      <c r="B43" t="s">
        <v>60</v>
      </c>
      <c r="C43" t="s">
        <v>29</v>
      </c>
      <c r="D43" t="s">
        <v>61</v>
      </c>
      <c r="E43" t="s">
        <v>62</v>
      </c>
      <c r="F43" t="s">
        <v>32</v>
      </c>
      <c r="G43" s="1">
        <v>46029</v>
      </c>
      <c r="H43" t="s">
        <v>45</v>
      </c>
      <c r="I43" t="s">
        <v>34</v>
      </c>
      <c r="J43" t="s">
        <v>46</v>
      </c>
      <c r="K43" t="s">
        <v>73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37</v>
      </c>
      <c r="T43" t="s">
        <v>76</v>
      </c>
      <c r="U43" t="s">
        <v>39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40</v>
      </c>
    </row>
    <row r="44" spans="1:28" x14ac:dyDescent="0.35">
      <c r="A44">
        <v>1042</v>
      </c>
      <c r="B44" t="s">
        <v>60</v>
      </c>
      <c r="C44" t="s">
        <v>29</v>
      </c>
      <c r="D44" t="s">
        <v>61</v>
      </c>
      <c r="E44" t="s">
        <v>62</v>
      </c>
      <c r="F44" t="s">
        <v>32</v>
      </c>
      <c r="G44" s="1">
        <v>46068</v>
      </c>
      <c r="H44" t="s">
        <v>33</v>
      </c>
      <c r="I44" t="s">
        <v>34</v>
      </c>
      <c r="J44" t="s">
        <v>77</v>
      </c>
      <c r="K44" t="s">
        <v>78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64</v>
      </c>
      <c r="T44" t="s">
        <v>76</v>
      </c>
      <c r="U44" t="s">
        <v>55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56</v>
      </c>
    </row>
    <row r="45" spans="1:28" x14ac:dyDescent="0.35">
      <c r="A45">
        <v>1043</v>
      </c>
      <c r="B45" t="s">
        <v>41</v>
      </c>
      <c r="C45" t="s">
        <v>29</v>
      </c>
      <c r="D45" t="s">
        <v>42</v>
      </c>
      <c r="E45" t="s">
        <v>43</v>
      </c>
      <c r="F45" t="s">
        <v>44</v>
      </c>
      <c r="G45" s="1">
        <v>46176</v>
      </c>
      <c r="H45" t="s">
        <v>68</v>
      </c>
      <c r="I45" t="s">
        <v>34</v>
      </c>
      <c r="J45" t="s">
        <v>35</v>
      </c>
      <c r="K45" t="s">
        <v>47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37</v>
      </c>
      <c r="T45" t="s">
        <v>49</v>
      </c>
      <c r="U45" t="s">
        <v>74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63</v>
      </c>
    </row>
    <row r="46" spans="1:28" x14ac:dyDescent="0.35">
      <c r="A46">
        <v>1044</v>
      </c>
      <c r="B46" t="s">
        <v>50</v>
      </c>
      <c r="C46" t="s">
        <v>29</v>
      </c>
      <c r="D46" t="s">
        <v>51</v>
      </c>
      <c r="E46" t="s">
        <v>52</v>
      </c>
      <c r="F46" t="s">
        <v>53</v>
      </c>
      <c r="G46" s="1">
        <v>46072</v>
      </c>
      <c r="H46" t="s">
        <v>33</v>
      </c>
      <c r="I46" t="s">
        <v>80</v>
      </c>
      <c r="J46" t="s">
        <v>81</v>
      </c>
      <c r="K46" t="s">
        <v>78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64</v>
      </c>
      <c r="T46" t="s">
        <v>38</v>
      </c>
      <c r="U46" t="s">
        <v>74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56</v>
      </c>
    </row>
    <row r="47" spans="1:28" x14ac:dyDescent="0.35">
      <c r="A47">
        <v>1045</v>
      </c>
      <c r="B47" t="s">
        <v>65</v>
      </c>
      <c r="C47" t="s">
        <v>29</v>
      </c>
      <c r="D47" t="s">
        <v>66</v>
      </c>
      <c r="E47" t="s">
        <v>67</v>
      </c>
      <c r="F47" t="s">
        <v>32</v>
      </c>
      <c r="G47" s="1">
        <v>46171</v>
      </c>
      <c r="H47" t="s">
        <v>54</v>
      </c>
      <c r="I47" t="s">
        <v>69</v>
      </c>
      <c r="J47" t="s">
        <v>72</v>
      </c>
      <c r="K47" t="s">
        <v>73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64</v>
      </c>
      <c r="T47" t="s">
        <v>49</v>
      </c>
      <c r="U47" t="s">
        <v>39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63</v>
      </c>
    </row>
    <row r="48" spans="1:28" x14ac:dyDescent="0.35">
      <c r="A48">
        <v>1046</v>
      </c>
      <c r="B48" t="s">
        <v>41</v>
      </c>
      <c r="C48" t="s">
        <v>29</v>
      </c>
      <c r="D48" t="s">
        <v>42</v>
      </c>
      <c r="E48" t="s">
        <v>43</v>
      </c>
      <c r="F48" t="s">
        <v>44</v>
      </c>
      <c r="G48" s="1">
        <v>46120</v>
      </c>
      <c r="H48" t="s">
        <v>75</v>
      </c>
      <c r="I48" t="s">
        <v>34</v>
      </c>
      <c r="J48" t="s">
        <v>77</v>
      </c>
      <c r="K48" t="s">
        <v>59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37</v>
      </c>
      <c r="T48" t="s">
        <v>76</v>
      </c>
      <c r="U48" t="s">
        <v>55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40</v>
      </c>
    </row>
    <row r="49" spans="1:28" x14ac:dyDescent="0.35">
      <c r="A49">
        <v>1047</v>
      </c>
      <c r="B49" t="s">
        <v>65</v>
      </c>
      <c r="C49" t="s">
        <v>29</v>
      </c>
      <c r="D49" t="s">
        <v>66</v>
      </c>
      <c r="E49" t="s">
        <v>67</v>
      </c>
      <c r="F49" t="s">
        <v>32</v>
      </c>
      <c r="G49" s="1">
        <v>46082</v>
      </c>
      <c r="H49" t="s">
        <v>71</v>
      </c>
      <c r="I49" t="s">
        <v>69</v>
      </c>
      <c r="J49" t="s">
        <v>72</v>
      </c>
      <c r="K49" t="s">
        <v>78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64</v>
      </c>
      <c r="T49" t="s">
        <v>49</v>
      </c>
      <c r="U49" t="s">
        <v>55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79</v>
      </c>
    </row>
    <row r="50" spans="1:28" x14ac:dyDescent="0.35">
      <c r="A50">
        <v>1048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s="1">
        <v>46201</v>
      </c>
      <c r="H50" t="s">
        <v>68</v>
      </c>
      <c r="I50" t="s">
        <v>34</v>
      </c>
      <c r="J50" t="s">
        <v>77</v>
      </c>
      <c r="K50" t="s">
        <v>73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37</v>
      </c>
      <c r="T50" t="s">
        <v>49</v>
      </c>
      <c r="U50" t="s">
        <v>39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79</v>
      </c>
    </row>
    <row r="51" spans="1:28" x14ac:dyDescent="0.35">
      <c r="A51">
        <v>1049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s="1">
        <v>46157</v>
      </c>
      <c r="H51" t="s">
        <v>54</v>
      </c>
      <c r="I51" t="s">
        <v>34</v>
      </c>
      <c r="J51" t="s">
        <v>77</v>
      </c>
      <c r="K51" t="s">
        <v>73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37</v>
      </c>
      <c r="T51" t="s">
        <v>49</v>
      </c>
      <c r="U51" t="s">
        <v>39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79</v>
      </c>
    </row>
    <row r="52" spans="1:28" x14ac:dyDescent="0.35">
      <c r="A52">
        <v>1050</v>
      </c>
      <c r="B52" t="s">
        <v>41</v>
      </c>
      <c r="C52" t="s">
        <v>29</v>
      </c>
      <c r="D52" t="s">
        <v>42</v>
      </c>
      <c r="E52" t="s">
        <v>43</v>
      </c>
      <c r="F52" t="s">
        <v>44</v>
      </c>
      <c r="G52" s="1">
        <v>46197</v>
      </c>
      <c r="H52" t="s">
        <v>68</v>
      </c>
      <c r="I52" t="s">
        <v>80</v>
      </c>
      <c r="J52" t="s">
        <v>82</v>
      </c>
      <c r="K52" t="s">
        <v>78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48</v>
      </c>
      <c r="T52" t="s">
        <v>76</v>
      </c>
      <c r="U52" t="s">
        <v>39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79</v>
      </c>
    </row>
    <row r="53" spans="1:28" x14ac:dyDescent="0.35">
      <c r="A53">
        <v>1051</v>
      </c>
      <c r="B53" t="s">
        <v>50</v>
      </c>
      <c r="C53" t="s">
        <v>29</v>
      </c>
      <c r="D53" t="s">
        <v>51</v>
      </c>
      <c r="E53" t="s">
        <v>52</v>
      </c>
      <c r="F53" t="s">
        <v>53</v>
      </c>
      <c r="G53" s="1">
        <v>46196</v>
      </c>
      <c r="H53" t="s">
        <v>68</v>
      </c>
      <c r="I53" t="s">
        <v>69</v>
      </c>
      <c r="J53" t="s">
        <v>72</v>
      </c>
      <c r="K53" t="s">
        <v>78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64</v>
      </c>
      <c r="T53" t="s">
        <v>76</v>
      </c>
      <c r="U53" t="s">
        <v>55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40</v>
      </c>
    </row>
    <row r="54" spans="1:28" x14ac:dyDescent="0.35">
      <c r="A54">
        <v>1052</v>
      </c>
      <c r="B54" t="s">
        <v>41</v>
      </c>
      <c r="C54" t="s">
        <v>29</v>
      </c>
      <c r="D54" t="s">
        <v>42</v>
      </c>
      <c r="E54" t="s">
        <v>43</v>
      </c>
      <c r="F54" t="s">
        <v>44</v>
      </c>
      <c r="G54" s="1">
        <v>46143</v>
      </c>
      <c r="H54" t="s">
        <v>54</v>
      </c>
      <c r="I54" t="s">
        <v>80</v>
      </c>
      <c r="J54" t="s">
        <v>81</v>
      </c>
      <c r="K54" t="s">
        <v>47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64</v>
      </c>
      <c r="T54" t="s">
        <v>49</v>
      </c>
      <c r="U54" t="s">
        <v>39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40</v>
      </c>
    </row>
    <row r="55" spans="1:28" x14ac:dyDescent="0.35">
      <c r="A55">
        <v>1053</v>
      </c>
      <c r="B55" t="s">
        <v>41</v>
      </c>
      <c r="C55" t="s">
        <v>29</v>
      </c>
      <c r="D55" t="s">
        <v>42</v>
      </c>
      <c r="E55" t="s">
        <v>43</v>
      </c>
      <c r="F55" t="s">
        <v>44</v>
      </c>
      <c r="G55" s="1">
        <v>46153</v>
      </c>
      <c r="H55" t="s">
        <v>54</v>
      </c>
      <c r="I55" t="s">
        <v>80</v>
      </c>
      <c r="J55" t="s">
        <v>82</v>
      </c>
      <c r="K55" t="s">
        <v>73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64</v>
      </c>
      <c r="T55" t="s">
        <v>49</v>
      </c>
      <c r="U55" t="s">
        <v>55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40</v>
      </c>
    </row>
    <row r="56" spans="1:28" x14ac:dyDescent="0.35">
      <c r="A56">
        <v>1054</v>
      </c>
      <c r="B56" t="s">
        <v>60</v>
      </c>
      <c r="C56" t="s">
        <v>29</v>
      </c>
      <c r="D56" t="s">
        <v>61</v>
      </c>
      <c r="E56" t="s">
        <v>62</v>
      </c>
      <c r="F56" t="s">
        <v>32</v>
      </c>
      <c r="G56" s="1">
        <v>46066</v>
      </c>
      <c r="H56" t="s">
        <v>33</v>
      </c>
      <c r="I56" t="s">
        <v>34</v>
      </c>
      <c r="J56" t="s">
        <v>77</v>
      </c>
      <c r="K56" t="s">
        <v>47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48</v>
      </c>
      <c r="T56" t="s">
        <v>76</v>
      </c>
      <c r="U56" t="s">
        <v>55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40</v>
      </c>
    </row>
    <row r="57" spans="1:28" x14ac:dyDescent="0.35">
      <c r="A57">
        <v>1055</v>
      </c>
      <c r="B57" t="s">
        <v>41</v>
      </c>
      <c r="C57" t="s">
        <v>29</v>
      </c>
      <c r="D57" t="s">
        <v>42</v>
      </c>
      <c r="E57" t="s">
        <v>43</v>
      </c>
      <c r="F57" t="s">
        <v>44</v>
      </c>
      <c r="G57" s="1">
        <v>46198</v>
      </c>
      <c r="H57" t="s">
        <v>68</v>
      </c>
      <c r="I57" t="s">
        <v>80</v>
      </c>
      <c r="J57" t="s">
        <v>81</v>
      </c>
      <c r="K57" t="s">
        <v>47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48</v>
      </c>
      <c r="T57" t="s">
        <v>38</v>
      </c>
      <c r="U57" t="s">
        <v>39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40</v>
      </c>
    </row>
    <row r="58" spans="1:28" x14ac:dyDescent="0.35">
      <c r="A58">
        <v>1056</v>
      </c>
      <c r="B58" t="s">
        <v>65</v>
      </c>
      <c r="C58" t="s">
        <v>29</v>
      </c>
      <c r="D58" t="s">
        <v>66</v>
      </c>
      <c r="E58" t="s">
        <v>67</v>
      </c>
      <c r="F58" t="s">
        <v>32</v>
      </c>
      <c r="G58" s="1">
        <v>46201</v>
      </c>
      <c r="H58" t="s">
        <v>68</v>
      </c>
      <c r="I58" t="s">
        <v>34</v>
      </c>
      <c r="J58" t="s">
        <v>35</v>
      </c>
      <c r="K58" t="s">
        <v>78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37</v>
      </c>
      <c r="T58" t="s">
        <v>38</v>
      </c>
      <c r="U58" t="s">
        <v>55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56</v>
      </c>
    </row>
    <row r="59" spans="1:28" x14ac:dyDescent="0.35">
      <c r="A59">
        <v>1057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s="1">
        <v>46088</v>
      </c>
      <c r="H59" t="s">
        <v>71</v>
      </c>
      <c r="I59" t="s">
        <v>34</v>
      </c>
      <c r="J59" t="s">
        <v>46</v>
      </c>
      <c r="K59" t="s">
        <v>59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64</v>
      </c>
      <c r="T59" t="s">
        <v>76</v>
      </c>
      <c r="U59" t="s">
        <v>55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56</v>
      </c>
    </row>
    <row r="60" spans="1:28" x14ac:dyDescent="0.35">
      <c r="A60">
        <v>1058</v>
      </c>
      <c r="B60" t="s">
        <v>65</v>
      </c>
      <c r="C60" t="s">
        <v>29</v>
      </c>
      <c r="D60" t="s">
        <v>66</v>
      </c>
      <c r="E60" t="s">
        <v>67</v>
      </c>
      <c r="F60" t="s">
        <v>32</v>
      </c>
      <c r="G60" s="1">
        <v>46196</v>
      </c>
      <c r="H60" t="s">
        <v>68</v>
      </c>
      <c r="I60" t="s">
        <v>34</v>
      </c>
      <c r="J60" t="s">
        <v>35</v>
      </c>
      <c r="K60" t="s">
        <v>78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64</v>
      </c>
      <c r="T60" t="s">
        <v>49</v>
      </c>
      <c r="U60" t="s">
        <v>39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40</v>
      </c>
    </row>
    <row r="61" spans="1:28" x14ac:dyDescent="0.35">
      <c r="A61">
        <v>1059</v>
      </c>
      <c r="B61" t="s">
        <v>50</v>
      </c>
      <c r="C61" t="s">
        <v>29</v>
      </c>
      <c r="D61" t="s">
        <v>51</v>
      </c>
      <c r="E61" t="s">
        <v>52</v>
      </c>
      <c r="F61" t="s">
        <v>53</v>
      </c>
      <c r="G61" s="1">
        <v>46041</v>
      </c>
      <c r="H61" t="s">
        <v>45</v>
      </c>
      <c r="I61" t="s">
        <v>80</v>
      </c>
      <c r="J61" t="s">
        <v>82</v>
      </c>
      <c r="K61" t="s">
        <v>47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37</v>
      </c>
      <c r="T61" t="s">
        <v>49</v>
      </c>
      <c r="U61" t="s">
        <v>74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40</v>
      </c>
    </row>
    <row r="62" spans="1:28" x14ac:dyDescent="0.35">
      <c r="A62">
        <v>1060</v>
      </c>
      <c r="B62" t="s">
        <v>41</v>
      </c>
      <c r="C62" t="s">
        <v>29</v>
      </c>
      <c r="D62" t="s">
        <v>42</v>
      </c>
      <c r="E62" t="s">
        <v>43</v>
      </c>
      <c r="F62" t="s">
        <v>44</v>
      </c>
      <c r="G62" s="1">
        <v>46109</v>
      </c>
      <c r="H62" t="s">
        <v>71</v>
      </c>
      <c r="I62" t="s">
        <v>69</v>
      </c>
      <c r="J62" t="s">
        <v>72</v>
      </c>
      <c r="K62" t="s">
        <v>36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64</v>
      </c>
      <c r="T62" t="s">
        <v>49</v>
      </c>
      <c r="U62" t="s">
        <v>55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40</v>
      </c>
    </row>
    <row r="63" spans="1:28" x14ac:dyDescent="0.35">
      <c r="A63">
        <v>1061</v>
      </c>
      <c r="B63" t="s">
        <v>60</v>
      </c>
      <c r="C63" t="s">
        <v>29</v>
      </c>
      <c r="D63" t="s">
        <v>61</v>
      </c>
      <c r="E63" t="s">
        <v>62</v>
      </c>
      <c r="F63" t="s">
        <v>32</v>
      </c>
      <c r="G63" s="1">
        <v>46150</v>
      </c>
      <c r="H63" t="s">
        <v>54</v>
      </c>
      <c r="I63" t="s">
        <v>57</v>
      </c>
      <c r="J63" t="s">
        <v>83</v>
      </c>
      <c r="K63" t="s">
        <v>36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37</v>
      </c>
      <c r="T63" t="s">
        <v>38</v>
      </c>
      <c r="U63" t="s">
        <v>74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40</v>
      </c>
    </row>
    <row r="64" spans="1:28" x14ac:dyDescent="0.35">
      <c r="A64">
        <v>1062</v>
      </c>
      <c r="B64" t="s">
        <v>60</v>
      </c>
      <c r="C64" t="s">
        <v>29</v>
      </c>
      <c r="D64" t="s">
        <v>61</v>
      </c>
      <c r="E64" t="s">
        <v>62</v>
      </c>
      <c r="F64" t="s">
        <v>32</v>
      </c>
      <c r="G64" s="1">
        <v>46174</v>
      </c>
      <c r="H64" t="s">
        <v>68</v>
      </c>
      <c r="I64" t="s">
        <v>80</v>
      </c>
      <c r="J64" t="s">
        <v>81</v>
      </c>
      <c r="K64" t="s">
        <v>78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37</v>
      </c>
      <c r="T64" t="s">
        <v>49</v>
      </c>
      <c r="U64" t="s">
        <v>74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40</v>
      </c>
    </row>
    <row r="65" spans="1:28" x14ac:dyDescent="0.35">
      <c r="A65">
        <v>1063</v>
      </c>
      <c r="B65" t="s">
        <v>65</v>
      </c>
      <c r="C65" t="s">
        <v>29</v>
      </c>
      <c r="D65" t="s">
        <v>66</v>
      </c>
      <c r="E65" t="s">
        <v>67</v>
      </c>
      <c r="F65" t="s">
        <v>32</v>
      </c>
      <c r="G65" s="1">
        <v>46136</v>
      </c>
      <c r="H65" t="s">
        <v>75</v>
      </c>
      <c r="I65" t="s">
        <v>69</v>
      </c>
      <c r="J65" t="s">
        <v>72</v>
      </c>
      <c r="K65" t="s">
        <v>47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64</v>
      </c>
      <c r="T65" t="s">
        <v>49</v>
      </c>
      <c r="U65" t="s">
        <v>39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56</v>
      </c>
    </row>
    <row r="66" spans="1:28" x14ac:dyDescent="0.35">
      <c r="A66">
        <v>1064</v>
      </c>
      <c r="B66" t="s">
        <v>60</v>
      </c>
      <c r="C66" t="s">
        <v>29</v>
      </c>
      <c r="D66" t="s">
        <v>61</v>
      </c>
      <c r="E66" t="s">
        <v>62</v>
      </c>
      <c r="F66" t="s">
        <v>32</v>
      </c>
      <c r="G66" s="1">
        <v>46158</v>
      </c>
      <c r="H66" t="s">
        <v>54</v>
      </c>
      <c r="I66" t="s">
        <v>69</v>
      </c>
      <c r="J66" t="s">
        <v>72</v>
      </c>
      <c r="K66" t="s">
        <v>78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64</v>
      </c>
      <c r="T66" t="s">
        <v>38</v>
      </c>
      <c r="U66" t="s">
        <v>74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40</v>
      </c>
    </row>
    <row r="67" spans="1:28" x14ac:dyDescent="0.35">
      <c r="A67">
        <v>1065</v>
      </c>
      <c r="B67" t="s">
        <v>50</v>
      </c>
      <c r="C67" t="s">
        <v>29</v>
      </c>
      <c r="D67" t="s">
        <v>51</v>
      </c>
      <c r="E67" t="s">
        <v>52</v>
      </c>
      <c r="F67" t="s">
        <v>53</v>
      </c>
      <c r="G67" s="1">
        <v>46147</v>
      </c>
      <c r="H67" t="s">
        <v>54</v>
      </c>
      <c r="I67" t="s">
        <v>69</v>
      </c>
      <c r="J67" t="s">
        <v>70</v>
      </c>
      <c r="K67" t="s">
        <v>47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48</v>
      </c>
      <c r="T67" t="s">
        <v>76</v>
      </c>
      <c r="U67" t="s">
        <v>74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40</v>
      </c>
    </row>
    <row r="68" spans="1:28" x14ac:dyDescent="0.35">
      <c r="A68">
        <v>1066</v>
      </c>
      <c r="B68" t="s">
        <v>65</v>
      </c>
      <c r="C68" t="s">
        <v>29</v>
      </c>
      <c r="D68" t="s">
        <v>66</v>
      </c>
      <c r="E68" t="s">
        <v>67</v>
      </c>
      <c r="F68" t="s">
        <v>32</v>
      </c>
      <c r="G68" s="1">
        <v>46174</v>
      </c>
      <c r="H68" t="s">
        <v>68</v>
      </c>
      <c r="I68" t="s">
        <v>80</v>
      </c>
      <c r="J68" t="s">
        <v>82</v>
      </c>
      <c r="K68" t="s">
        <v>78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48</v>
      </c>
      <c r="T68" t="s">
        <v>76</v>
      </c>
      <c r="U68" t="s">
        <v>39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63</v>
      </c>
    </row>
    <row r="69" spans="1:28" x14ac:dyDescent="0.35">
      <c r="A69">
        <v>1067</v>
      </c>
      <c r="B69" t="s">
        <v>50</v>
      </c>
      <c r="C69" t="s">
        <v>29</v>
      </c>
      <c r="D69" t="s">
        <v>51</v>
      </c>
      <c r="E69" t="s">
        <v>52</v>
      </c>
      <c r="F69" t="s">
        <v>53</v>
      </c>
      <c r="G69" s="1">
        <v>46127</v>
      </c>
      <c r="H69" t="s">
        <v>75</v>
      </c>
      <c r="I69" t="s">
        <v>57</v>
      </c>
      <c r="J69" t="s">
        <v>58</v>
      </c>
      <c r="K69" t="s">
        <v>73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64</v>
      </c>
      <c r="T69" t="s">
        <v>76</v>
      </c>
      <c r="U69" t="s">
        <v>39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40</v>
      </c>
    </row>
    <row r="70" spans="1:28" x14ac:dyDescent="0.35">
      <c r="A70">
        <v>1068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s="1">
        <v>46083</v>
      </c>
      <c r="H70" t="s">
        <v>71</v>
      </c>
      <c r="I70" t="s">
        <v>69</v>
      </c>
      <c r="J70" t="s">
        <v>72</v>
      </c>
      <c r="K70" t="s">
        <v>47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64</v>
      </c>
      <c r="T70" t="s">
        <v>49</v>
      </c>
      <c r="U70" t="s">
        <v>55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63</v>
      </c>
    </row>
    <row r="71" spans="1:28" x14ac:dyDescent="0.35">
      <c r="A71">
        <v>1069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s="1">
        <v>46135</v>
      </c>
      <c r="H71" t="s">
        <v>75</v>
      </c>
      <c r="I71" t="s">
        <v>57</v>
      </c>
      <c r="J71" t="s">
        <v>83</v>
      </c>
      <c r="K71" t="s">
        <v>47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37</v>
      </c>
      <c r="T71" t="s">
        <v>76</v>
      </c>
      <c r="U71" t="s">
        <v>39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79</v>
      </c>
    </row>
    <row r="72" spans="1:28" x14ac:dyDescent="0.35">
      <c r="A72">
        <v>1070</v>
      </c>
      <c r="B72" t="s">
        <v>65</v>
      </c>
      <c r="C72" t="s">
        <v>29</v>
      </c>
      <c r="D72" t="s">
        <v>66</v>
      </c>
      <c r="E72" t="s">
        <v>67</v>
      </c>
      <c r="F72" t="s">
        <v>32</v>
      </c>
      <c r="G72" s="1">
        <v>46083</v>
      </c>
      <c r="H72" t="s">
        <v>71</v>
      </c>
      <c r="I72" t="s">
        <v>80</v>
      </c>
      <c r="J72" t="s">
        <v>81</v>
      </c>
      <c r="K72" t="s">
        <v>47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37</v>
      </c>
      <c r="T72" t="s">
        <v>38</v>
      </c>
      <c r="U72" t="s">
        <v>74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63</v>
      </c>
    </row>
    <row r="73" spans="1:28" x14ac:dyDescent="0.35">
      <c r="A73">
        <v>1071</v>
      </c>
      <c r="B73" t="s">
        <v>41</v>
      </c>
      <c r="C73" t="s">
        <v>29</v>
      </c>
      <c r="D73" t="s">
        <v>42</v>
      </c>
      <c r="E73" t="s">
        <v>43</v>
      </c>
      <c r="F73" t="s">
        <v>44</v>
      </c>
      <c r="G73" s="1">
        <v>46121</v>
      </c>
      <c r="H73" t="s">
        <v>75</v>
      </c>
      <c r="I73" t="s">
        <v>80</v>
      </c>
      <c r="J73" t="s">
        <v>81</v>
      </c>
      <c r="K73" t="s">
        <v>78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48</v>
      </c>
      <c r="T73" t="s">
        <v>49</v>
      </c>
      <c r="U73" t="s">
        <v>74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79</v>
      </c>
    </row>
    <row r="74" spans="1:28" x14ac:dyDescent="0.35">
      <c r="A74">
        <v>1072</v>
      </c>
      <c r="B74" t="s">
        <v>50</v>
      </c>
      <c r="C74" t="s">
        <v>29</v>
      </c>
      <c r="D74" t="s">
        <v>51</v>
      </c>
      <c r="E74" t="s">
        <v>52</v>
      </c>
      <c r="F74" t="s">
        <v>53</v>
      </c>
      <c r="G74" s="1">
        <v>46115</v>
      </c>
      <c r="H74" t="s">
        <v>75</v>
      </c>
      <c r="I74" t="s">
        <v>80</v>
      </c>
      <c r="J74" t="s">
        <v>81</v>
      </c>
      <c r="K74" t="s">
        <v>73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48</v>
      </c>
      <c r="T74" t="s">
        <v>38</v>
      </c>
      <c r="U74" t="s">
        <v>39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40</v>
      </c>
    </row>
    <row r="75" spans="1:28" x14ac:dyDescent="0.35">
      <c r="A75">
        <v>1073</v>
      </c>
      <c r="B75" t="s">
        <v>50</v>
      </c>
      <c r="C75" t="s">
        <v>29</v>
      </c>
      <c r="D75" t="s">
        <v>51</v>
      </c>
      <c r="E75" t="s">
        <v>52</v>
      </c>
      <c r="F75" t="s">
        <v>53</v>
      </c>
      <c r="G75" s="1">
        <v>46176</v>
      </c>
      <c r="H75" t="s">
        <v>68</v>
      </c>
      <c r="I75" t="s">
        <v>34</v>
      </c>
      <c r="J75" t="s">
        <v>46</v>
      </c>
      <c r="K75" t="s">
        <v>47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37</v>
      </c>
      <c r="T75" t="s">
        <v>76</v>
      </c>
      <c r="U75" t="s">
        <v>55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56</v>
      </c>
    </row>
    <row r="76" spans="1:28" x14ac:dyDescent="0.35">
      <c r="A76">
        <v>1074</v>
      </c>
      <c r="B76" t="s">
        <v>41</v>
      </c>
      <c r="C76" t="s">
        <v>29</v>
      </c>
      <c r="D76" t="s">
        <v>42</v>
      </c>
      <c r="E76" t="s">
        <v>43</v>
      </c>
      <c r="F76" t="s">
        <v>44</v>
      </c>
      <c r="G76" s="1">
        <v>46087</v>
      </c>
      <c r="H76" t="s">
        <v>71</v>
      </c>
      <c r="I76" t="s">
        <v>80</v>
      </c>
      <c r="J76" t="s">
        <v>81</v>
      </c>
      <c r="K76" t="s">
        <v>59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48</v>
      </c>
      <c r="T76" t="s">
        <v>76</v>
      </c>
      <c r="U76" t="s">
        <v>39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63</v>
      </c>
    </row>
    <row r="77" spans="1:28" x14ac:dyDescent="0.35">
      <c r="A77">
        <v>1075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s="1">
        <v>46160</v>
      </c>
      <c r="H77" t="s">
        <v>54</v>
      </c>
      <c r="I77" t="s">
        <v>69</v>
      </c>
      <c r="J77" t="s">
        <v>72</v>
      </c>
      <c r="K77" t="s">
        <v>78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37</v>
      </c>
      <c r="T77" t="s">
        <v>76</v>
      </c>
      <c r="U77" t="s">
        <v>55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40</v>
      </c>
    </row>
    <row r="78" spans="1:28" x14ac:dyDescent="0.35">
      <c r="A78">
        <v>1076</v>
      </c>
      <c r="B78" t="s">
        <v>65</v>
      </c>
      <c r="C78" t="s">
        <v>29</v>
      </c>
      <c r="D78" t="s">
        <v>66</v>
      </c>
      <c r="E78" t="s">
        <v>67</v>
      </c>
      <c r="F78" t="s">
        <v>32</v>
      </c>
      <c r="G78" s="1">
        <v>46128</v>
      </c>
      <c r="H78" t="s">
        <v>75</v>
      </c>
      <c r="I78" t="s">
        <v>57</v>
      </c>
      <c r="J78" t="s">
        <v>83</v>
      </c>
      <c r="K78" t="s">
        <v>47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64</v>
      </c>
      <c r="T78" t="s">
        <v>38</v>
      </c>
      <c r="U78" t="s">
        <v>74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79</v>
      </c>
    </row>
    <row r="79" spans="1:28" x14ac:dyDescent="0.35">
      <c r="A79">
        <v>1077</v>
      </c>
      <c r="B79" t="s">
        <v>60</v>
      </c>
      <c r="C79" t="s">
        <v>29</v>
      </c>
      <c r="D79" t="s">
        <v>61</v>
      </c>
      <c r="E79" t="s">
        <v>62</v>
      </c>
      <c r="F79" t="s">
        <v>32</v>
      </c>
      <c r="G79" s="1">
        <v>46142</v>
      </c>
      <c r="H79" t="s">
        <v>75</v>
      </c>
      <c r="I79" t="s">
        <v>34</v>
      </c>
      <c r="J79" t="s">
        <v>35</v>
      </c>
      <c r="K79" t="s">
        <v>36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37</v>
      </c>
      <c r="T79" t="s">
        <v>76</v>
      </c>
      <c r="U79" t="s">
        <v>39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63</v>
      </c>
    </row>
    <row r="80" spans="1:28" x14ac:dyDescent="0.35">
      <c r="A80">
        <v>1078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s="1">
        <v>46065</v>
      </c>
      <c r="H80" t="s">
        <v>33</v>
      </c>
      <c r="I80" t="s">
        <v>34</v>
      </c>
      <c r="J80" t="s">
        <v>46</v>
      </c>
      <c r="K80" t="s">
        <v>59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48</v>
      </c>
      <c r="T80" t="s">
        <v>76</v>
      </c>
      <c r="U80" t="s">
        <v>74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40</v>
      </c>
    </row>
    <row r="81" spans="1:28" x14ac:dyDescent="0.35">
      <c r="A81">
        <v>1079</v>
      </c>
      <c r="B81" t="s">
        <v>60</v>
      </c>
      <c r="C81" t="s">
        <v>29</v>
      </c>
      <c r="D81" t="s">
        <v>61</v>
      </c>
      <c r="E81" t="s">
        <v>62</v>
      </c>
      <c r="F81" t="s">
        <v>32</v>
      </c>
      <c r="G81" s="1">
        <v>46160</v>
      </c>
      <c r="H81" t="s">
        <v>54</v>
      </c>
      <c r="I81" t="s">
        <v>80</v>
      </c>
      <c r="J81" t="s">
        <v>81</v>
      </c>
      <c r="K81" t="s">
        <v>78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48</v>
      </c>
      <c r="T81" t="s">
        <v>76</v>
      </c>
      <c r="U81" t="s">
        <v>74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40</v>
      </c>
    </row>
    <row r="82" spans="1:28" x14ac:dyDescent="0.35">
      <c r="A82">
        <v>1080</v>
      </c>
      <c r="B82" t="s">
        <v>50</v>
      </c>
      <c r="C82" t="s">
        <v>29</v>
      </c>
      <c r="D82" t="s">
        <v>51</v>
      </c>
      <c r="E82" t="s">
        <v>52</v>
      </c>
      <c r="F82" t="s">
        <v>53</v>
      </c>
      <c r="G82" s="1">
        <v>46106</v>
      </c>
      <c r="H82" t="s">
        <v>71</v>
      </c>
      <c r="I82" t="s">
        <v>80</v>
      </c>
      <c r="J82" t="s">
        <v>81</v>
      </c>
      <c r="K82" t="s">
        <v>78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37</v>
      </c>
      <c r="T82" t="s">
        <v>49</v>
      </c>
      <c r="U82" t="s">
        <v>74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40</v>
      </c>
    </row>
    <row r="83" spans="1:28" x14ac:dyDescent="0.35">
      <c r="A83">
        <v>1081</v>
      </c>
      <c r="B83" t="s">
        <v>65</v>
      </c>
      <c r="C83" t="s">
        <v>29</v>
      </c>
      <c r="D83" t="s">
        <v>66</v>
      </c>
      <c r="E83" t="s">
        <v>67</v>
      </c>
      <c r="F83" t="s">
        <v>32</v>
      </c>
      <c r="G83" s="1">
        <v>46027</v>
      </c>
      <c r="H83" t="s">
        <v>45</v>
      </c>
      <c r="I83" t="s">
        <v>34</v>
      </c>
      <c r="J83" t="s">
        <v>46</v>
      </c>
      <c r="K83" t="s">
        <v>78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37</v>
      </c>
      <c r="T83" t="s">
        <v>38</v>
      </c>
      <c r="U83" t="s">
        <v>55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40</v>
      </c>
    </row>
    <row r="84" spans="1:28" x14ac:dyDescent="0.35">
      <c r="A84">
        <v>1082</v>
      </c>
      <c r="B84" t="s">
        <v>60</v>
      </c>
      <c r="C84" t="s">
        <v>29</v>
      </c>
      <c r="D84" t="s">
        <v>61</v>
      </c>
      <c r="E84" t="s">
        <v>62</v>
      </c>
      <c r="F84" t="s">
        <v>32</v>
      </c>
      <c r="G84" s="1">
        <v>46109</v>
      </c>
      <c r="H84" t="s">
        <v>71</v>
      </c>
      <c r="I84" t="s">
        <v>57</v>
      </c>
      <c r="J84" t="s">
        <v>58</v>
      </c>
      <c r="K84" t="s">
        <v>47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48</v>
      </c>
      <c r="T84" t="s">
        <v>49</v>
      </c>
      <c r="U84" t="s">
        <v>74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56</v>
      </c>
    </row>
    <row r="85" spans="1:28" x14ac:dyDescent="0.35">
      <c r="A85">
        <v>1083</v>
      </c>
      <c r="B85" t="s">
        <v>50</v>
      </c>
      <c r="C85" t="s">
        <v>29</v>
      </c>
      <c r="D85" t="s">
        <v>51</v>
      </c>
      <c r="E85" t="s">
        <v>52</v>
      </c>
      <c r="F85" t="s">
        <v>53</v>
      </c>
      <c r="G85" s="1">
        <v>46190</v>
      </c>
      <c r="H85" t="s">
        <v>68</v>
      </c>
      <c r="I85" t="s">
        <v>69</v>
      </c>
      <c r="J85" t="s">
        <v>72</v>
      </c>
      <c r="K85" t="s">
        <v>36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48</v>
      </c>
      <c r="T85" t="s">
        <v>49</v>
      </c>
      <c r="U85" t="s">
        <v>39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79</v>
      </c>
    </row>
    <row r="86" spans="1:28" x14ac:dyDescent="0.35">
      <c r="A86">
        <v>1084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s="1">
        <v>46094</v>
      </c>
      <c r="H86" t="s">
        <v>71</v>
      </c>
      <c r="I86" t="s">
        <v>57</v>
      </c>
      <c r="J86" t="s">
        <v>58</v>
      </c>
      <c r="K86" t="s">
        <v>73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64</v>
      </c>
      <c r="T86" t="s">
        <v>38</v>
      </c>
      <c r="U86" t="s">
        <v>55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63</v>
      </c>
    </row>
    <row r="87" spans="1:28" x14ac:dyDescent="0.35">
      <c r="A87">
        <v>1085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s="1">
        <v>46071</v>
      </c>
      <c r="H87" t="s">
        <v>33</v>
      </c>
      <c r="I87" t="s">
        <v>80</v>
      </c>
      <c r="J87" t="s">
        <v>82</v>
      </c>
      <c r="K87" t="s">
        <v>73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37</v>
      </c>
      <c r="T87" t="s">
        <v>49</v>
      </c>
      <c r="U87" t="s">
        <v>55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79</v>
      </c>
    </row>
    <row r="88" spans="1:28" x14ac:dyDescent="0.35">
      <c r="A88">
        <v>1086</v>
      </c>
      <c r="B88" t="s">
        <v>50</v>
      </c>
      <c r="C88" t="s">
        <v>29</v>
      </c>
      <c r="D88" t="s">
        <v>51</v>
      </c>
      <c r="E88" t="s">
        <v>52</v>
      </c>
      <c r="F88" t="s">
        <v>53</v>
      </c>
      <c r="G88" s="1">
        <v>46200</v>
      </c>
      <c r="H88" t="s">
        <v>68</v>
      </c>
      <c r="I88" t="s">
        <v>34</v>
      </c>
      <c r="J88" t="s">
        <v>46</v>
      </c>
      <c r="K88" t="s">
        <v>47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37</v>
      </c>
      <c r="T88" t="s">
        <v>76</v>
      </c>
      <c r="U88" t="s">
        <v>39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56</v>
      </c>
    </row>
    <row r="89" spans="1:28" x14ac:dyDescent="0.35">
      <c r="A89">
        <v>1087</v>
      </c>
      <c r="B89" t="s">
        <v>65</v>
      </c>
      <c r="C89" t="s">
        <v>29</v>
      </c>
      <c r="D89" t="s">
        <v>66</v>
      </c>
      <c r="E89" t="s">
        <v>67</v>
      </c>
      <c r="F89" t="s">
        <v>32</v>
      </c>
      <c r="G89" s="1">
        <v>46182</v>
      </c>
      <c r="H89" t="s">
        <v>68</v>
      </c>
      <c r="I89" t="s">
        <v>80</v>
      </c>
      <c r="J89" t="s">
        <v>82</v>
      </c>
      <c r="K89" t="s">
        <v>36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48</v>
      </c>
      <c r="T89" t="s">
        <v>49</v>
      </c>
      <c r="U89" t="s">
        <v>74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40</v>
      </c>
    </row>
    <row r="90" spans="1:28" x14ac:dyDescent="0.35">
      <c r="A90">
        <v>1088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s="1">
        <v>46073</v>
      </c>
      <c r="H90" t="s">
        <v>33</v>
      </c>
      <c r="I90" t="s">
        <v>57</v>
      </c>
      <c r="J90" t="s">
        <v>83</v>
      </c>
      <c r="K90" t="s">
        <v>73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37</v>
      </c>
      <c r="T90" t="s">
        <v>38</v>
      </c>
      <c r="U90" t="s">
        <v>55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56</v>
      </c>
    </row>
    <row r="91" spans="1:28" x14ac:dyDescent="0.35">
      <c r="A91">
        <v>1089</v>
      </c>
      <c r="B91" t="s">
        <v>50</v>
      </c>
      <c r="C91" t="s">
        <v>29</v>
      </c>
      <c r="D91" t="s">
        <v>51</v>
      </c>
      <c r="E91" t="s">
        <v>52</v>
      </c>
      <c r="F91" t="s">
        <v>53</v>
      </c>
      <c r="G91" s="1">
        <v>46054</v>
      </c>
      <c r="H91" t="s">
        <v>33</v>
      </c>
      <c r="I91" t="s">
        <v>34</v>
      </c>
      <c r="J91" t="s">
        <v>46</v>
      </c>
      <c r="K91" t="s">
        <v>78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37</v>
      </c>
      <c r="T91" t="s">
        <v>49</v>
      </c>
      <c r="U91" t="s">
        <v>74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63</v>
      </c>
    </row>
    <row r="92" spans="1:28" x14ac:dyDescent="0.35">
      <c r="A92">
        <v>1090</v>
      </c>
      <c r="B92" t="s">
        <v>50</v>
      </c>
      <c r="C92" t="s">
        <v>29</v>
      </c>
      <c r="D92" t="s">
        <v>51</v>
      </c>
      <c r="E92" t="s">
        <v>52</v>
      </c>
      <c r="F92" t="s">
        <v>53</v>
      </c>
      <c r="G92" s="1">
        <v>46191</v>
      </c>
      <c r="H92" t="s">
        <v>68</v>
      </c>
      <c r="I92" t="s">
        <v>80</v>
      </c>
      <c r="J92" t="s">
        <v>81</v>
      </c>
      <c r="K92" t="s">
        <v>36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64</v>
      </c>
      <c r="T92" t="s">
        <v>38</v>
      </c>
      <c r="U92" t="s">
        <v>55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79</v>
      </c>
    </row>
    <row r="93" spans="1:28" x14ac:dyDescent="0.35">
      <c r="A93">
        <v>1091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s="1">
        <v>46193</v>
      </c>
      <c r="H93" t="s">
        <v>68</v>
      </c>
      <c r="I93" t="s">
        <v>80</v>
      </c>
      <c r="J93" t="s">
        <v>82</v>
      </c>
      <c r="K93" t="s">
        <v>78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48</v>
      </c>
      <c r="T93" t="s">
        <v>76</v>
      </c>
      <c r="U93" t="s">
        <v>39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63</v>
      </c>
    </row>
    <row r="94" spans="1:28" x14ac:dyDescent="0.35">
      <c r="A94">
        <v>1092</v>
      </c>
      <c r="B94" t="s">
        <v>65</v>
      </c>
      <c r="C94" t="s">
        <v>29</v>
      </c>
      <c r="D94" t="s">
        <v>66</v>
      </c>
      <c r="E94" t="s">
        <v>67</v>
      </c>
      <c r="F94" t="s">
        <v>32</v>
      </c>
      <c r="G94" s="1">
        <v>46145</v>
      </c>
      <c r="H94" t="s">
        <v>54</v>
      </c>
      <c r="I94" t="s">
        <v>69</v>
      </c>
      <c r="J94" t="s">
        <v>72</v>
      </c>
      <c r="K94" t="s">
        <v>47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64</v>
      </c>
      <c r="T94" t="s">
        <v>76</v>
      </c>
      <c r="U94" t="s">
        <v>74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56</v>
      </c>
    </row>
    <row r="95" spans="1:28" x14ac:dyDescent="0.35">
      <c r="A95">
        <v>1093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s="1">
        <v>46044</v>
      </c>
      <c r="H95" t="s">
        <v>45</v>
      </c>
      <c r="I95" t="s">
        <v>80</v>
      </c>
      <c r="J95" t="s">
        <v>82</v>
      </c>
      <c r="K95" t="s">
        <v>36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64</v>
      </c>
      <c r="T95" t="s">
        <v>76</v>
      </c>
      <c r="U95" t="s">
        <v>55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40</v>
      </c>
    </row>
    <row r="96" spans="1:28" x14ac:dyDescent="0.35">
      <c r="A96">
        <v>1094</v>
      </c>
      <c r="B96" t="s">
        <v>50</v>
      </c>
      <c r="C96" t="s">
        <v>29</v>
      </c>
      <c r="D96" t="s">
        <v>51</v>
      </c>
      <c r="E96" t="s">
        <v>52</v>
      </c>
      <c r="F96" t="s">
        <v>53</v>
      </c>
      <c r="G96" s="1">
        <v>46174</v>
      </c>
      <c r="H96" t="s">
        <v>68</v>
      </c>
      <c r="I96" t="s">
        <v>80</v>
      </c>
      <c r="J96" t="s">
        <v>81</v>
      </c>
      <c r="K96" t="s">
        <v>59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64</v>
      </c>
      <c r="T96" t="s">
        <v>76</v>
      </c>
      <c r="U96" t="s">
        <v>74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63</v>
      </c>
    </row>
    <row r="97" spans="1:28" x14ac:dyDescent="0.35">
      <c r="A97">
        <v>1095</v>
      </c>
      <c r="B97" t="s">
        <v>65</v>
      </c>
      <c r="C97" t="s">
        <v>29</v>
      </c>
      <c r="D97" t="s">
        <v>66</v>
      </c>
      <c r="E97" t="s">
        <v>67</v>
      </c>
      <c r="F97" t="s">
        <v>32</v>
      </c>
      <c r="G97" s="1">
        <v>46082</v>
      </c>
      <c r="H97" t="s">
        <v>71</v>
      </c>
      <c r="I97" t="s">
        <v>57</v>
      </c>
      <c r="J97" t="s">
        <v>58</v>
      </c>
      <c r="K97" t="s">
        <v>73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64</v>
      </c>
      <c r="T97" t="s">
        <v>38</v>
      </c>
      <c r="U97" t="s">
        <v>74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79</v>
      </c>
    </row>
    <row r="98" spans="1:28" x14ac:dyDescent="0.35">
      <c r="A98">
        <v>1096</v>
      </c>
      <c r="B98" t="s">
        <v>41</v>
      </c>
      <c r="C98" t="s">
        <v>29</v>
      </c>
      <c r="D98" t="s">
        <v>42</v>
      </c>
      <c r="E98" t="s">
        <v>43</v>
      </c>
      <c r="F98" t="s">
        <v>44</v>
      </c>
      <c r="G98" s="1">
        <v>46132</v>
      </c>
      <c r="H98" t="s">
        <v>75</v>
      </c>
      <c r="I98" t="s">
        <v>57</v>
      </c>
      <c r="J98" t="s">
        <v>83</v>
      </c>
      <c r="K98" t="s">
        <v>59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48</v>
      </c>
      <c r="T98" t="s">
        <v>49</v>
      </c>
      <c r="U98" t="s">
        <v>39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79</v>
      </c>
    </row>
    <row r="99" spans="1:28" x14ac:dyDescent="0.35">
      <c r="A99">
        <v>1097</v>
      </c>
      <c r="B99" t="s">
        <v>65</v>
      </c>
      <c r="C99" t="s">
        <v>29</v>
      </c>
      <c r="D99" t="s">
        <v>66</v>
      </c>
      <c r="E99" t="s">
        <v>67</v>
      </c>
      <c r="F99" t="s">
        <v>32</v>
      </c>
      <c r="G99" s="1">
        <v>46123</v>
      </c>
      <c r="H99" t="s">
        <v>75</v>
      </c>
      <c r="I99" t="s">
        <v>69</v>
      </c>
      <c r="J99" t="s">
        <v>72</v>
      </c>
      <c r="K99" t="s">
        <v>36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37</v>
      </c>
      <c r="T99" t="s">
        <v>38</v>
      </c>
      <c r="U99" t="s">
        <v>39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56</v>
      </c>
    </row>
    <row r="100" spans="1:28" x14ac:dyDescent="0.35">
      <c r="A100">
        <v>1098</v>
      </c>
      <c r="B100" t="s">
        <v>65</v>
      </c>
      <c r="C100" t="s">
        <v>29</v>
      </c>
      <c r="D100" t="s">
        <v>66</v>
      </c>
      <c r="E100" t="s">
        <v>67</v>
      </c>
      <c r="F100" t="s">
        <v>32</v>
      </c>
      <c r="G100" s="1">
        <v>46065</v>
      </c>
      <c r="H100" t="s">
        <v>33</v>
      </c>
      <c r="I100" t="s">
        <v>69</v>
      </c>
      <c r="J100" t="s">
        <v>70</v>
      </c>
      <c r="K100" t="s">
        <v>47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37</v>
      </c>
      <c r="T100" t="s">
        <v>49</v>
      </c>
      <c r="U100" t="s">
        <v>55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56</v>
      </c>
    </row>
    <row r="101" spans="1:28" x14ac:dyDescent="0.35">
      <c r="A101">
        <v>1099</v>
      </c>
      <c r="B101" t="s">
        <v>60</v>
      </c>
      <c r="C101" t="s">
        <v>29</v>
      </c>
      <c r="D101" t="s">
        <v>61</v>
      </c>
      <c r="E101" t="s">
        <v>62</v>
      </c>
      <c r="F101" t="s">
        <v>32</v>
      </c>
      <c r="G101" s="1">
        <v>46128</v>
      </c>
      <c r="H101" t="s">
        <v>75</v>
      </c>
      <c r="I101" t="s">
        <v>34</v>
      </c>
      <c r="J101" t="s">
        <v>46</v>
      </c>
      <c r="K101" t="s">
        <v>59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37</v>
      </c>
      <c r="T101" t="s">
        <v>76</v>
      </c>
      <c r="U101" t="s">
        <v>39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56</v>
      </c>
    </row>
    <row r="102" spans="1:28" x14ac:dyDescent="0.35">
      <c r="A102">
        <v>1100</v>
      </c>
      <c r="B102" t="s">
        <v>60</v>
      </c>
      <c r="C102" t="s">
        <v>29</v>
      </c>
      <c r="D102" t="s">
        <v>61</v>
      </c>
      <c r="E102" t="s">
        <v>62</v>
      </c>
      <c r="F102" t="s">
        <v>32</v>
      </c>
      <c r="G102" s="1">
        <v>46084</v>
      </c>
      <c r="H102" t="s">
        <v>71</v>
      </c>
      <c r="I102" t="s">
        <v>34</v>
      </c>
      <c r="J102" t="s">
        <v>46</v>
      </c>
      <c r="K102" t="s">
        <v>73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64</v>
      </c>
      <c r="T102" t="s">
        <v>49</v>
      </c>
      <c r="U102" t="s">
        <v>39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40</v>
      </c>
    </row>
    <row r="103" spans="1:28" x14ac:dyDescent="0.35">
      <c r="A103">
        <v>1101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s="1">
        <v>46159</v>
      </c>
      <c r="H103" t="s">
        <v>54</v>
      </c>
      <c r="I103" t="s">
        <v>80</v>
      </c>
      <c r="J103" t="s">
        <v>81</v>
      </c>
      <c r="K103" t="s">
        <v>36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48</v>
      </c>
      <c r="T103" t="s">
        <v>76</v>
      </c>
      <c r="U103" t="s">
        <v>74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40</v>
      </c>
    </row>
    <row r="104" spans="1:28" x14ac:dyDescent="0.35">
      <c r="A104">
        <v>1102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s="1">
        <v>46066</v>
      </c>
      <c r="H104" t="s">
        <v>33</v>
      </c>
      <c r="I104" t="s">
        <v>57</v>
      </c>
      <c r="J104" t="s">
        <v>83</v>
      </c>
      <c r="K104" t="s">
        <v>73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48</v>
      </c>
      <c r="T104" t="s">
        <v>49</v>
      </c>
      <c r="U104" t="s">
        <v>55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63</v>
      </c>
    </row>
    <row r="105" spans="1:28" x14ac:dyDescent="0.35">
      <c r="A105">
        <v>1103</v>
      </c>
      <c r="B105" t="s">
        <v>65</v>
      </c>
      <c r="C105" t="s">
        <v>29</v>
      </c>
      <c r="D105" t="s">
        <v>66</v>
      </c>
      <c r="E105" t="s">
        <v>67</v>
      </c>
      <c r="F105" t="s">
        <v>32</v>
      </c>
      <c r="G105" s="1">
        <v>46060</v>
      </c>
      <c r="H105" t="s">
        <v>33</v>
      </c>
      <c r="I105" t="s">
        <v>34</v>
      </c>
      <c r="J105" t="s">
        <v>35</v>
      </c>
      <c r="K105" t="s">
        <v>36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48</v>
      </c>
      <c r="T105" t="s">
        <v>49</v>
      </c>
      <c r="U105" t="s">
        <v>39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56</v>
      </c>
    </row>
    <row r="106" spans="1:28" x14ac:dyDescent="0.35">
      <c r="A106">
        <v>1104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s="1">
        <v>46068</v>
      </c>
      <c r="H106" t="s">
        <v>33</v>
      </c>
      <c r="I106" t="s">
        <v>57</v>
      </c>
      <c r="J106" t="s">
        <v>83</v>
      </c>
      <c r="K106" t="s">
        <v>59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48</v>
      </c>
      <c r="T106" t="s">
        <v>76</v>
      </c>
      <c r="U106" t="s">
        <v>55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79</v>
      </c>
    </row>
    <row r="107" spans="1:28" x14ac:dyDescent="0.35">
      <c r="A107">
        <v>1105</v>
      </c>
      <c r="B107" t="s">
        <v>65</v>
      </c>
      <c r="C107" t="s">
        <v>29</v>
      </c>
      <c r="D107" t="s">
        <v>66</v>
      </c>
      <c r="E107" t="s">
        <v>67</v>
      </c>
      <c r="F107" t="s">
        <v>32</v>
      </c>
      <c r="G107" s="1">
        <v>46166</v>
      </c>
      <c r="H107" t="s">
        <v>54</v>
      </c>
      <c r="I107" t="s">
        <v>80</v>
      </c>
      <c r="J107" t="s">
        <v>81</v>
      </c>
      <c r="K107" t="s">
        <v>78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48</v>
      </c>
      <c r="T107" t="s">
        <v>38</v>
      </c>
      <c r="U107" t="s">
        <v>39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79</v>
      </c>
    </row>
    <row r="108" spans="1:28" x14ac:dyDescent="0.35">
      <c r="A108">
        <v>1106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s="1">
        <v>46192</v>
      </c>
      <c r="H108" t="s">
        <v>68</v>
      </c>
      <c r="I108" t="s">
        <v>34</v>
      </c>
      <c r="J108" t="s">
        <v>35</v>
      </c>
      <c r="K108" t="s">
        <v>47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64</v>
      </c>
      <c r="T108" t="s">
        <v>49</v>
      </c>
      <c r="U108" t="s">
        <v>39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56</v>
      </c>
    </row>
    <row r="109" spans="1:28" x14ac:dyDescent="0.35">
      <c r="A109">
        <v>1107</v>
      </c>
      <c r="B109" t="s">
        <v>50</v>
      </c>
      <c r="C109" t="s">
        <v>29</v>
      </c>
      <c r="D109" t="s">
        <v>51</v>
      </c>
      <c r="E109" t="s">
        <v>52</v>
      </c>
      <c r="F109" t="s">
        <v>53</v>
      </c>
      <c r="G109" s="1">
        <v>46160</v>
      </c>
      <c r="H109" t="s">
        <v>54</v>
      </c>
      <c r="I109" t="s">
        <v>34</v>
      </c>
      <c r="J109" t="s">
        <v>46</v>
      </c>
      <c r="K109" t="s">
        <v>78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64</v>
      </c>
      <c r="T109" t="s">
        <v>38</v>
      </c>
      <c r="U109" t="s">
        <v>74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40</v>
      </c>
    </row>
    <row r="110" spans="1:28" x14ac:dyDescent="0.35">
      <c r="A110">
        <v>1108</v>
      </c>
      <c r="B110" t="s">
        <v>60</v>
      </c>
      <c r="C110" t="s">
        <v>29</v>
      </c>
      <c r="D110" t="s">
        <v>61</v>
      </c>
      <c r="E110" t="s">
        <v>62</v>
      </c>
      <c r="F110" t="s">
        <v>32</v>
      </c>
      <c r="G110" s="1">
        <v>46063</v>
      </c>
      <c r="H110" t="s">
        <v>33</v>
      </c>
      <c r="I110" t="s">
        <v>80</v>
      </c>
      <c r="J110" t="s">
        <v>81</v>
      </c>
      <c r="K110" t="s">
        <v>36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64</v>
      </c>
      <c r="T110" t="s">
        <v>38</v>
      </c>
      <c r="U110" t="s">
        <v>74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40</v>
      </c>
    </row>
    <row r="111" spans="1:28" x14ac:dyDescent="0.35">
      <c r="A111">
        <v>1109</v>
      </c>
      <c r="B111" t="s">
        <v>41</v>
      </c>
      <c r="C111" t="s">
        <v>29</v>
      </c>
      <c r="D111" t="s">
        <v>42</v>
      </c>
      <c r="E111" t="s">
        <v>43</v>
      </c>
      <c r="F111" t="s">
        <v>44</v>
      </c>
      <c r="G111" s="1">
        <v>46200</v>
      </c>
      <c r="H111" t="s">
        <v>68</v>
      </c>
      <c r="I111" t="s">
        <v>69</v>
      </c>
      <c r="J111" t="s">
        <v>72</v>
      </c>
      <c r="K111" t="s">
        <v>78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37</v>
      </c>
      <c r="T111" t="s">
        <v>38</v>
      </c>
      <c r="U111" t="s">
        <v>74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79</v>
      </c>
    </row>
    <row r="112" spans="1:28" x14ac:dyDescent="0.35">
      <c r="A112">
        <v>1110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s="1">
        <v>46140</v>
      </c>
      <c r="H112" t="s">
        <v>75</v>
      </c>
      <c r="I112" t="s">
        <v>34</v>
      </c>
      <c r="J112" t="s">
        <v>77</v>
      </c>
      <c r="K112" t="s">
        <v>36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48</v>
      </c>
      <c r="T112" t="s">
        <v>76</v>
      </c>
      <c r="U112" t="s">
        <v>74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63</v>
      </c>
    </row>
    <row r="113" spans="1:28" x14ac:dyDescent="0.35">
      <c r="A113">
        <v>1111</v>
      </c>
      <c r="B113" t="s">
        <v>65</v>
      </c>
      <c r="C113" t="s">
        <v>29</v>
      </c>
      <c r="D113" t="s">
        <v>66</v>
      </c>
      <c r="E113" t="s">
        <v>67</v>
      </c>
      <c r="F113" t="s">
        <v>32</v>
      </c>
      <c r="G113" s="1">
        <v>46158</v>
      </c>
      <c r="H113" t="s">
        <v>54</v>
      </c>
      <c r="I113" t="s">
        <v>80</v>
      </c>
      <c r="J113" t="s">
        <v>81</v>
      </c>
      <c r="K113" t="s">
        <v>36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64</v>
      </c>
      <c r="T113" t="s">
        <v>76</v>
      </c>
      <c r="U113" t="s">
        <v>39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56</v>
      </c>
    </row>
    <row r="114" spans="1:28" x14ac:dyDescent="0.35">
      <c r="A114">
        <v>1112</v>
      </c>
      <c r="B114" t="s">
        <v>60</v>
      </c>
      <c r="C114" t="s">
        <v>29</v>
      </c>
      <c r="D114" t="s">
        <v>61</v>
      </c>
      <c r="E114" t="s">
        <v>62</v>
      </c>
      <c r="F114" t="s">
        <v>32</v>
      </c>
      <c r="G114" s="1">
        <v>46178</v>
      </c>
      <c r="H114" t="s">
        <v>68</v>
      </c>
      <c r="I114" t="s">
        <v>80</v>
      </c>
      <c r="J114" t="s">
        <v>82</v>
      </c>
      <c r="K114" t="s">
        <v>47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48</v>
      </c>
      <c r="T114" t="s">
        <v>76</v>
      </c>
      <c r="U114" t="s">
        <v>55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56</v>
      </c>
    </row>
    <row r="115" spans="1:28" x14ac:dyDescent="0.35">
      <c r="A115">
        <v>1113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s="1">
        <v>46057</v>
      </c>
      <c r="H115" t="s">
        <v>33</v>
      </c>
      <c r="I115" t="s">
        <v>57</v>
      </c>
      <c r="J115" t="s">
        <v>83</v>
      </c>
      <c r="K115" t="s">
        <v>36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37</v>
      </c>
      <c r="T115" t="s">
        <v>38</v>
      </c>
      <c r="U115" t="s">
        <v>39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79</v>
      </c>
    </row>
    <row r="116" spans="1:28" x14ac:dyDescent="0.35">
      <c r="A116">
        <v>1114</v>
      </c>
      <c r="B116" t="s">
        <v>65</v>
      </c>
      <c r="C116" t="s">
        <v>29</v>
      </c>
      <c r="D116" t="s">
        <v>66</v>
      </c>
      <c r="E116" t="s">
        <v>67</v>
      </c>
      <c r="F116" t="s">
        <v>32</v>
      </c>
      <c r="G116" s="1">
        <v>46188</v>
      </c>
      <c r="H116" t="s">
        <v>68</v>
      </c>
      <c r="I116" t="s">
        <v>69</v>
      </c>
      <c r="J116" t="s">
        <v>72</v>
      </c>
      <c r="K116" t="s">
        <v>47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48</v>
      </c>
      <c r="T116" t="s">
        <v>49</v>
      </c>
      <c r="U116" t="s">
        <v>55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79</v>
      </c>
    </row>
    <row r="117" spans="1:28" x14ac:dyDescent="0.35">
      <c r="A117">
        <v>1115</v>
      </c>
      <c r="B117" t="s">
        <v>41</v>
      </c>
      <c r="C117" t="s">
        <v>29</v>
      </c>
      <c r="D117" t="s">
        <v>42</v>
      </c>
      <c r="E117" t="s">
        <v>43</v>
      </c>
      <c r="F117" t="s">
        <v>44</v>
      </c>
      <c r="G117" s="1">
        <v>46198</v>
      </c>
      <c r="H117" t="s">
        <v>68</v>
      </c>
      <c r="I117" t="s">
        <v>69</v>
      </c>
      <c r="J117" t="s">
        <v>72</v>
      </c>
      <c r="K117" t="s">
        <v>78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48</v>
      </c>
      <c r="T117" t="s">
        <v>38</v>
      </c>
      <c r="U117" t="s">
        <v>55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56</v>
      </c>
    </row>
    <row r="118" spans="1:28" x14ac:dyDescent="0.35">
      <c r="A118">
        <v>1116</v>
      </c>
      <c r="B118" t="s">
        <v>50</v>
      </c>
      <c r="C118" t="s">
        <v>29</v>
      </c>
      <c r="D118" t="s">
        <v>51</v>
      </c>
      <c r="E118" t="s">
        <v>52</v>
      </c>
      <c r="F118" t="s">
        <v>53</v>
      </c>
      <c r="G118" s="1">
        <v>46125</v>
      </c>
      <c r="H118" t="s">
        <v>75</v>
      </c>
      <c r="I118" t="s">
        <v>34</v>
      </c>
      <c r="J118" t="s">
        <v>77</v>
      </c>
      <c r="K118" t="s">
        <v>47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64</v>
      </c>
      <c r="T118" t="s">
        <v>38</v>
      </c>
      <c r="U118" t="s">
        <v>74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63</v>
      </c>
    </row>
    <row r="119" spans="1:28" x14ac:dyDescent="0.35">
      <c r="A119">
        <v>1117</v>
      </c>
      <c r="B119" t="s">
        <v>41</v>
      </c>
      <c r="C119" t="s">
        <v>29</v>
      </c>
      <c r="D119" t="s">
        <v>42</v>
      </c>
      <c r="E119" t="s">
        <v>43</v>
      </c>
      <c r="F119" t="s">
        <v>44</v>
      </c>
      <c r="G119" s="1">
        <v>46029</v>
      </c>
      <c r="H119" t="s">
        <v>45</v>
      </c>
      <c r="I119" t="s">
        <v>34</v>
      </c>
      <c r="J119" t="s">
        <v>35</v>
      </c>
      <c r="K119" t="s">
        <v>59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37</v>
      </c>
      <c r="T119" t="s">
        <v>49</v>
      </c>
      <c r="U119" t="s">
        <v>39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40</v>
      </c>
    </row>
    <row r="120" spans="1:28" x14ac:dyDescent="0.35">
      <c r="A120">
        <v>1118</v>
      </c>
      <c r="B120" t="s">
        <v>50</v>
      </c>
      <c r="C120" t="s">
        <v>29</v>
      </c>
      <c r="D120" t="s">
        <v>51</v>
      </c>
      <c r="E120" t="s">
        <v>52</v>
      </c>
      <c r="F120" t="s">
        <v>53</v>
      </c>
      <c r="G120" s="1">
        <v>46078</v>
      </c>
      <c r="H120" t="s">
        <v>33</v>
      </c>
      <c r="I120" t="s">
        <v>57</v>
      </c>
      <c r="J120" t="s">
        <v>83</v>
      </c>
      <c r="K120" t="s">
        <v>73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37</v>
      </c>
      <c r="T120" t="s">
        <v>76</v>
      </c>
      <c r="U120" t="s">
        <v>55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63</v>
      </c>
    </row>
    <row r="121" spans="1:28" x14ac:dyDescent="0.35">
      <c r="A121">
        <v>1119</v>
      </c>
      <c r="B121" t="s">
        <v>41</v>
      </c>
      <c r="C121" t="s">
        <v>29</v>
      </c>
      <c r="D121" t="s">
        <v>42</v>
      </c>
      <c r="E121" t="s">
        <v>43</v>
      </c>
      <c r="F121" t="s">
        <v>44</v>
      </c>
      <c r="G121" s="1">
        <v>46181</v>
      </c>
      <c r="H121" t="s">
        <v>68</v>
      </c>
      <c r="I121" t="s">
        <v>57</v>
      </c>
      <c r="J121" t="s">
        <v>58</v>
      </c>
      <c r="K121" t="s">
        <v>47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48</v>
      </c>
      <c r="T121" t="s">
        <v>38</v>
      </c>
      <c r="U121" t="s">
        <v>74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79</v>
      </c>
    </row>
    <row r="122" spans="1:28" x14ac:dyDescent="0.35">
      <c r="A122">
        <v>1120</v>
      </c>
      <c r="B122" t="s">
        <v>60</v>
      </c>
      <c r="C122" t="s">
        <v>29</v>
      </c>
      <c r="D122" t="s">
        <v>61</v>
      </c>
      <c r="E122" t="s">
        <v>62</v>
      </c>
      <c r="F122" t="s">
        <v>32</v>
      </c>
      <c r="G122" s="1">
        <v>46191</v>
      </c>
      <c r="H122" t="s">
        <v>68</v>
      </c>
      <c r="I122" t="s">
        <v>57</v>
      </c>
      <c r="J122" t="s">
        <v>83</v>
      </c>
      <c r="K122" t="s">
        <v>78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48</v>
      </c>
      <c r="T122" t="s">
        <v>38</v>
      </c>
      <c r="U122" t="s">
        <v>74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56</v>
      </c>
    </row>
    <row r="123" spans="1:28" x14ac:dyDescent="0.35">
      <c r="A123">
        <v>1121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s="1">
        <v>46195</v>
      </c>
      <c r="H123" t="s">
        <v>68</v>
      </c>
      <c r="I123" t="s">
        <v>80</v>
      </c>
      <c r="J123" t="s">
        <v>81</v>
      </c>
      <c r="K123" t="s">
        <v>47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64</v>
      </c>
      <c r="T123" t="s">
        <v>49</v>
      </c>
      <c r="U123" t="s">
        <v>55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56</v>
      </c>
    </row>
    <row r="124" spans="1:28" x14ac:dyDescent="0.35">
      <c r="A124">
        <v>1122</v>
      </c>
      <c r="B124" t="s">
        <v>60</v>
      </c>
      <c r="C124" t="s">
        <v>29</v>
      </c>
      <c r="D124" t="s">
        <v>61</v>
      </c>
      <c r="E124" t="s">
        <v>62</v>
      </c>
      <c r="F124" t="s">
        <v>32</v>
      </c>
      <c r="G124" s="1">
        <v>46126</v>
      </c>
      <c r="H124" t="s">
        <v>75</v>
      </c>
      <c r="I124" t="s">
        <v>57</v>
      </c>
      <c r="J124" t="s">
        <v>58</v>
      </c>
      <c r="K124" t="s">
        <v>78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64</v>
      </c>
      <c r="T124" t="s">
        <v>76</v>
      </c>
      <c r="U124" t="s">
        <v>74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79</v>
      </c>
    </row>
    <row r="125" spans="1:28" x14ac:dyDescent="0.35">
      <c r="A125">
        <v>1123</v>
      </c>
      <c r="B125" t="s">
        <v>41</v>
      </c>
      <c r="C125" t="s">
        <v>29</v>
      </c>
      <c r="D125" t="s">
        <v>42</v>
      </c>
      <c r="E125" t="s">
        <v>43</v>
      </c>
      <c r="F125" t="s">
        <v>44</v>
      </c>
      <c r="G125" s="1">
        <v>46093</v>
      </c>
      <c r="H125" t="s">
        <v>71</v>
      </c>
      <c r="I125" t="s">
        <v>34</v>
      </c>
      <c r="J125" t="s">
        <v>46</v>
      </c>
      <c r="K125" t="s">
        <v>47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48</v>
      </c>
      <c r="T125" t="s">
        <v>76</v>
      </c>
      <c r="U125" t="s">
        <v>39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56</v>
      </c>
    </row>
    <row r="126" spans="1:28" x14ac:dyDescent="0.35">
      <c r="A126">
        <v>1124</v>
      </c>
      <c r="B126" t="s">
        <v>41</v>
      </c>
      <c r="C126" t="s">
        <v>29</v>
      </c>
      <c r="D126" t="s">
        <v>42</v>
      </c>
      <c r="E126" t="s">
        <v>43</v>
      </c>
      <c r="F126" t="s">
        <v>44</v>
      </c>
      <c r="G126" s="1">
        <v>46040</v>
      </c>
      <c r="H126" t="s">
        <v>45</v>
      </c>
      <c r="I126" t="s">
        <v>69</v>
      </c>
      <c r="J126" t="s">
        <v>70</v>
      </c>
      <c r="K126" t="s">
        <v>73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48</v>
      </c>
      <c r="T126" t="s">
        <v>76</v>
      </c>
      <c r="U126" t="s">
        <v>55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63</v>
      </c>
    </row>
    <row r="127" spans="1:28" x14ac:dyDescent="0.35">
      <c r="A127">
        <v>1125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s="1">
        <v>46162</v>
      </c>
      <c r="H127" t="s">
        <v>54</v>
      </c>
      <c r="I127" t="s">
        <v>34</v>
      </c>
      <c r="J127" t="s">
        <v>77</v>
      </c>
      <c r="K127" t="s">
        <v>73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37</v>
      </c>
      <c r="T127" t="s">
        <v>38</v>
      </c>
      <c r="U127" t="s">
        <v>55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79</v>
      </c>
    </row>
    <row r="128" spans="1:28" x14ac:dyDescent="0.35">
      <c r="A128">
        <v>1126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s="1">
        <v>46144</v>
      </c>
      <c r="H128" t="s">
        <v>54</v>
      </c>
      <c r="I128" t="s">
        <v>69</v>
      </c>
      <c r="J128" t="s">
        <v>72</v>
      </c>
      <c r="K128" t="s">
        <v>59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48</v>
      </c>
      <c r="T128" t="s">
        <v>76</v>
      </c>
      <c r="U128" t="s">
        <v>74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40</v>
      </c>
    </row>
    <row r="129" spans="1:28" x14ac:dyDescent="0.35">
      <c r="A129">
        <v>1127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s="1">
        <v>46077</v>
      </c>
      <c r="H129" t="s">
        <v>33</v>
      </c>
      <c r="I129" t="s">
        <v>34</v>
      </c>
      <c r="J129" t="s">
        <v>77</v>
      </c>
      <c r="K129" t="s">
        <v>47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48</v>
      </c>
      <c r="T129" t="s">
        <v>76</v>
      </c>
      <c r="U129" t="s">
        <v>55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63</v>
      </c>
    </row>
    <row r="130" spans="1:28" x14ac:dyDescent="0.35">
      <c r="A130">
        <v>1128</v>
      </c>
      <c r="B130" t="s">
        <v>65</v>
      </c>
      <c r="C130" t="s">
        <v>29</v>
      </c>
      <c r="D130" t="s">
        <v>66</v>
      </c>
      <c r="E130" t="s">
        <v>67</v>
      </c>
      <c r="F130" t="s">
        <v>32</v>
      </c>
      <c r="G130" s="1">
        <v>46124</v>
      </c>
      <c r="H130" t="s">
        <v>75</v>
      </c>
      <c r="I130" t="s">
        <v>57</v>
      </c>
      <c r="J130" t="s">
        <v>58</v>
      </c>
      <c r="K130" t="s">
        <v>47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37</v>
      </c>
      <c r="T130" t="s">
        <v>76</v>
      </c>
      <c r="U130" t="s">
        <v>55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40</v>
      </c>
    </row>
    <row r="131" spans="1:28" x14ac:dyDescent="0.35">
      <c r="A131">
        <v>1129</v>
      </c>
      <c r="B131" t="s">
        <v>50</v>
      </c>
      <c r="C131" t="s">
        <v>29</v>
      </c>
      <c r="D131" t="s">
        <v>51</v>
      </c>
      <c r="E131" t="s">
        <v>52</v>
      </c>
      <c r="F131" t="s">
        <v>53</v>
      </c>
      <c r="G131" s="1">
        <v>46187</v>
      </c>
      <c r="H131" t="s">
        <v>68</v>
      </c>
      <c r="I131" t="s">
        <v>34</v>
      </c>
      <c r="J131" t="s">
        <v>77</v>
      </c>
      <c r="K131" t="s">
        <v>47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37</v>
      </c>
      <c r="T131" t="s">
        <v>49</v>
      </c>
      <c r="U131" t="s">
        <v>39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56</v>
      </c>
    </row>
    <row r="132" spans="1:28" x14ac:dyDescent="0.35">
      <c r="A132">
        <v>1130</v>
      </c>
      <c r="B132" t="s">
        <v>60</v>
      </c>
      <c r="C132" t="s">
        <v>29</v>
      </c>
      <c r="D132" t="s">
        <v>61</v>
      </c>
      <c r="E132" t="s">
        <v>62</v>
      </c>
      <c r="F132" t="s">
        <v>32</v>
      </c>
      <c r="G132" s="1">
        <v>46057</v>
      </c>
      <c r="H132" t="s">
        <v>33</v>
      </c>
      <c r="I132" t="s">
        <v>80</v>
      </c>
      <c r="J132" t="s">
        <v>81</v>
      </c>
      <c r="K132" t="s">
        <v>36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37</v>
      </c>
      <c r="T132" t="s">
        <v>49</v>
      </c>
      <c r="U132" t="s">
        <v>74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79</v>
      </c>
    </row>
    <row r="133" spans="1:28" x14ac:dyDescent="0.35">
      <c r="A133">
        <v>1131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s="1">
        <v>46157</v>
      </c>
      <c r="H133" t="s">
        <v>54</v>
      </c>
      <c r="I133" t="s">
        <v>34</v>
      </c>
      <c r="J133" t="s">
        <v>46</v>
      </c>
      <c r="K133" t="s">
        <v>47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64</v>
      </c>
      <c r="T133" t="s">
        <v>38</v>
      </c>
      <c r="U133" t="s">
        <v>39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79</v>
      </c>
    </row>
    <row r="134" spans="1:28" x14ac:dyDescent="0.35">
      <c r="A134">
        <v>1132</v>
      </c>
      <c r="B134" t="s">
        <v>50</v>
      </c>
      <c r="C134" t="s">
        <v>29</v>
      </c>
      <c r="D134" t="s">
        <v>51</v>
      </c>
      <c r="E134" t="s">
        <v>52</v>
      </c>
      <c r="F134" t="s">
        <v>53</v>
      </c>
      <c r="G134" s="1">
        <v>46168</v>
      </c>
      <c r="H134" t="s">
        <v>54</v>
      </c>
      <c r="I134" t="s">
        <v>34</v>
      </c>
      <c r="J134" t="s">
        <v>77</v>
      </c>
      <c r="K134" t="s">
        <v>47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37</v>
      </c>
      <c r="T134" t="s">
        <v>76</v>
      </c>
      <c r="U134" t="s">
        <v>74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63</v>
      </c>
    </row>
    <row r="135" spans="1:28" x14ac:dyDescent="0.35">
      <c r="A135">
        <v>1133</v>
      </c>
      <c r="B135" t="s">
        <v>60</v>
      </c>
      <c r="C135" t="s">
        <v>29</v>
      </c>
      <c r="D135" t="s">
        <v>61</v>
      </c>
      <c r="E135" t="s">
        <v>62</v>
      </c>
      <c r="F135" t="s">
        <v>32</v>
      </c>
      <c r="G135" s="1">
        <v>46150</v>
      </c>
      <c r="H135" t="s">
        <v>54</v>
      </c>
      <c r="I135" t="s">
        <v>69</v>
      </c>
      <c r="J135" t="s">
        <v>72</v>
      </c>
      <c r="K135" t="s">
        <v>78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64</v>
      </c>
      <c r="T135" t="s">
        <v>49</v>
      </c>
      <c r="U135" t="s">
        <v>39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40</v>
      </c>
    </row>
    <row r="136" spans="1:28" x14ac:dyDescent="0.35">
      <c r="A136">
        <v>1134</v>
      </c>
      <c r="B136" t="s">
        <v>50</v>
      </c>
      <c r="C136" t="s">
        <v>29</v>
      </c>
      <c r="D136" t="s">
        <v>51</v>
      </c>
      <c r="E136" t="s">
        <v>52</v>
      </c>
      <c r="F136" t="s">
        <v>53</v>
      </c>
      <c r="G136" s="1">
        <v>46103</v>
      </c>
      <c r="H136" t="s">
        <v>71</v>
      </c>
      <c r="I136" t="s">
        <v>57</v>
      </c>
      <c r="J136" t="s">
        <v>83</v>
      </c>
      <c r="K136" t="s">
        <v>36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48</v>
      </c>
      <c r="T136" t="s">
        <v>49</v>
      </c>
      <c r="U136" t="s">
        <v>39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56</v>
      </c>
    </row>
    <row r="137" spans="1:28" x14ac:dyDescent="0.35">
      <c r="A137">
        <v>1135</v>
      </c>
      <c r="B137" t="s">
        <v>65</v>
      </c>
      <c r="C137" t="s">
        <v>29</v>
      </c>
      <c r="D137" t="s">
        <v>66</v>
      </c>
      <c r="E137" t="s">
        <v>67</v>
      </c>
      <c r="F137" t="s">
        <v>32</v>
      </c>
      <c r="G137" s="1">
        <v>46059</v>
      </c>
      <c r="H137" t="s">
        <v>33</v>
      </c>
      <c r="I137" t="s">
        <v>69</v>
      </c>
      <c r="J137" t="s">
        <v>70</v>
      </c>
      <c r="K137" t="s">
        <v>59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37</v>
      </c>
      <c r="T137" t="s">
        <v>38</v>
      </c>
      <c r="U137" t="s">
        <v>55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79</v>
      </c>
    </row>
    <row r="138" spans="1:28" x14ac:dyDescent="0.35">
      <c r="A138">
        <v>1136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s="1">
        <v>46154</v>
      </c>
      <c r="H138" t="s">
        <v>54</v>
      </c>
      <c r="I138" t="s">
        <v>80</v>
      </c>
      <c r="J138" t="s">
        <v>82</v>
      </c>
      <c r="K138" t="s">
        <v>59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64</v>
      </c>
      <c r="T138" t="s">
        <v>76</v>
      </c>
      <c r="U138" t="s">
        <v>39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79</v>
      </c>
    </row>
    <row r="139" spans="1:28" x14ac:dyDescent="0.35">
      <c r="A139">
        <v>1137</v>
      </c>
      <c r="B139" t="s">
        <v>65</v>
      </c>
      <c r="C139" t="s">
        <v>29</v>
      </c>
      <c r="D139" t="s">
        <v>66</v>
      </c>
      <c r="E139" t="s">
        <v>67</v>
      </c>
      <c r="F139" t="s">
        <v>32</v>
      </c>
      <c r="G139" s="1">
        <v>46171</v>
      </c>
      <c r="H139" t="s">
        <v>54</v>
      </c>
      <c r="I139" t="s">
        <v>80</v>
      </c>
      <c r="J139" t="s">
        <v>82</v>
      </c>
      <c r="K139" t="s">
        <v>59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48</v>
      </c>
      <c r="T139" t="s">
        <v>76</v>
      </c>
      <c r="U139" t="s">
        <v>39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79</v>
      </c>
    </row>
    <row r="140" spans="1:28" x14ac:dyDescent="0.35">
      <c r="A140">
        <v>1138</v>
      </c>
      <c r="B140" t="s">
        <v>41</v>
      </c>
      <c r="C140" t="s">
        <v>29</v>
      </c>
      <c r="D140" t="s">
        <v>42</v>
      </c>
      <c r="E140" t="s">
        <v>43</v>
      </c>
      <c r="F140" t="s">
        <v>44</v>
      </c>
      <c r="G140" s="1">
        <v>46043</v>
      </c>
      <c r="H140" t="s">
        <v>45</v>
      </c>
      <c r="I140" t="s">
        <v>57</v>
      </c>
      <c r="J140" t="s">
        <v>58</v>
      </c>
      <c r="K140" t="s">
        <v>59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37</v>
      </c>
      <c r="T140" t="s">
        <v>49</v>
      </c>
      <c r="U140" t="s">
        <v>74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56</v>
      </c>
    </row>
    <row r="141" spans="1:28" x14ac:dyDescent="0.35">
      <c r="A141">
        <v>1139</v>
      </c>
      <c r="B141" t="s">
        <v>50</v>
      </c>
      <c r="C141" t="s">
        <v>29</v>
      </c>
      <c r="D141" t="s">
        <v>51</v>
      </c>
      <c r="E141" t="s">
        <v>52</v>
      </c>
      <c r="F141" t="s">
        <v>53</v>
      </c>
      <c r="G141" s="1">
        <v>46074</v>
      </c>
      <c r="H141" t="s">
        <v>33</v>
      </c>
      <c r="I141" t="s">
        <v>69</v>
      </c>
      <c r="J141" t="s">
        <v>70</v>
      </c>
      <c r="K141" t="s">
        <v>47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48</v>
      </c>
      <c r="T141" t="s">
        <v>49</v>
      </c>
      <c r="U141" t="s">
        <v>55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79</v>
      </c>
    </row>
    <row r="142" spans="1:28" x14ac:dyDescent="0.35">
      <c r="A142">
        <v>1140</v>
      </c>
      <c r="B142" t="s">
        <v>65</v>
      </c>
      <c r="C142" t="s">
        <v>29</v>
      </c>
      <c r="D142" t="s">
        <v>66</v>
      </c>
      <c r="E142" t="s">
        <v>67</v>
      </c>
      <c r="F142" t="s">
        <v>32</v>
      </c>
      <c r="G142" s="1">
        <v>46122</v>
      </c>
      <c r="H142" t="s">
        <v>75</v>
      </c>
      <c r="I142" t="s">
        <v>80</v>
      </c>
      <c r="J142" t="s">
        <v>82</v>
      </c>
      <c r="K142" t="s">
        <v>59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37</v>
      </c>
      <c r="T142" t="s">
        <v>38</v>
      </c>
      <c r="U142" t="s">
        <v>39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79</v>
      </c>
    </row>
    <row r="143" spans="1:28" x14ac:dyDescent="0.35">
      <c r="A143">
        <v>1141</v>
      </c>
      <c r="B143" t="s">
        <v>65</v>
      </c>
      <c r="C143" t="s">
        <v>29</v>
      </c>
      <c r="D143" t="s">
        <v>66</v>
      </c>
      <c r="E143" t="s">
        <v>67</v>
      </c>
      <c r="F143" t="s">
        <v>32</v>
      </c>
      <c r="G143" s="1">
        <v>46203</v>
      </c>
      <c r="H143" t="s">
        <v>68</v>
      </c>
      <c r="I143" t="s">
        <v>69</v>
      </c>
      <c r="J143" t="s">
        <v>72</v>
      </c>
      <c r="K143" t="s">
        <v>47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37</v>
      </c>
      <c r="T143" t="s">
        <v>49</v>
      </c>
      <c r="U143" t="s">
        <v>55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56</v>
      </c>
    </row>
    <row r="144" spans="1:28" x14ac:dyDescent="0.35">
      <c r="A144">
        <v>1142</v>
      </c>
      <c r="B144" t="s">
        <v>60</v>
      </c>
      <c r="C144" t="s">
        <v>29</v>
      </c>
      <c r="D144" t="s">
        <v>61</v>
      </c>
      <c r="E144" t="s">
        <v>62</v>
      </c>
      <c r="F144" t="s">
        <v>32</v>
      </c>
      <c r="G144" s="1">
        <v>46175</v>
      </c>
      <c r="H144" t="s">
        <v>68</v>
      </c>
      <c r="I144" t="s">
        <v>34</v>
      </c>
      <c r="J144" t="s">
        <v>35</v>
      </c>
      <c r="K144" t="s">
        <v>78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37</v>
      </c>
      <c r="T144" t="s">
        <v>38</v>
      </c>
      <c r="U144" t="s">
        <v>55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63</v>
      </c>
    </row>
    <row r="145" spans="1:28" x14ac:dyDescent="0.35">
      <c r="A145">
        <v>1143</v>
      </c>
      <c r="B145" t="s">
        <v>41</v>
      </c>
      <c r="C145" t="s">
        <v>29</v>
      </c>
      <c r="D145" t="s">
        <v>42</v>
      </c>
      <c r="E145" t="s">
        <v>43</v>
      </c>
      <c r="F145" t="s">
        <v>44</v>
      </c>
      <c r="G145" s="1">
        <v>46072</v>
      </c>
      <c r="H145" t="s">
        <v>33</v>
      </c>
      <c r="I145" t="s">
        <v>69</v>
      </c>
      <c r="J145" t="s">
        <v>70</v>
      </c>
      <c r="K145" t="s">
        <v>78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48</v>
      </c>
      <c r="T145" t="s">
        <v>76</v>
      </c>
      <c r="U145" t="s">
        <v>55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40</v>
      </c>
    </row>
    <row r="146" spans="1:28" x14ac:dyDescent="0.35">
      <c r="A146">
        <v>1144</v>
      </c>
      <c r="B146" t="s">
        <v>65</v>
      </c>
      <c r="C146" t="s">
        <v>29</v>
      </c>
      <c r="D146" t="s">
        <v>66</v>
      </c>
      <c r="E146" t="s">
        <v>67</v>
      </c>
      <c r="F146" t="s">
        <v>32</v>
      </c>
      <c r="G146" s="1">
        <v>46184</v>
      </c>
      <c r="H146" t="s">
        <v>68</v>
      </c>
      <c r="I146" t="s">
        <v>34</v>
      </c>
      <c r="J146" t="s">
        <v>35</v>
      </c>
      <c r="K146" t="s">
        <v>73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48</v>
      </c>
      <c r="T146" t="s">
        <v>38</v>
      </c>
      <c r="U146" t="s">
        <v>74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79</v>
      </c>
    </row>
    <row r="147" spans="1:28" x14ac:dyDescent="0.35">
      <c r="A147">
        <v>1145</v>
      </c>
      <c r="B147" t="s">
        <v>65</v>
      </c>
      <c r="C147" t="s">
        <v>29</v>
      </c>
      <c r="D147" t="s">
        <v>66</v>
      </c>
      <c r="E147" t="s">
        <v>67</v>
      </c>
      <c r="F147" t="s">
        <v>32</v>
      </c>
      <c r="G147" s="1">
        <v>46101</v>
      </c>
      <c r="H147" t="s">
        <v>71</v>
      </c>
      <c r="I147" t="s">
        <v>80</v>
      </c>
      <c r="J147" t="s">
        <v>81</v>
      </c>
      <c r="K147" t="s">
        <v>59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37</v>
      </c>
      <c r="T147" t="s">
        <v>76</v>
      </c>
      <c r="U147" t="s">
        <v>55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79</v>
      </c>
    </row>
    <row r="148" spans="1:28" x14ac:dyDescent="0.35">
      <c r="A148">
        <v>1146</v>
      </c>
      <c r="B148" t="s">
        <v>50</v>
      </c>
      <c r="C148" t="s">
        <v>29</v>
      </c>
      <c r="D148" t="s">
        <v>51</v>
      </c>
      <c r="E148" t="s">
        <v>52</v>
      </c>
      <c r="F148" t="s">
        <v>53</v>
      </c>
      <c r="G148" s="1">
        <v>46092</v>
      </c>
      <c r="H148" t="s">
        <v>71</v>
      </c>
      <c r="I148" t="s">
        <v>57</v>
      </c>
      <c r="J148" t="s">
        <v>83</v>
      </c>
      <c r="K148" t="s">
        <v>73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37</v>
      </c>
      <c r="T148" t="s">
        <v>76</v>
      </c>
      <c r="U148" t="s">
        <v>74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79</v>
      </c>
    </row>
    <row r="149" spans="1:28" x14ac:dyDescent="0.35">
      <c r="A149">
        <v>1147</v>
      </c>
      <c r="B149" t="s">
        <v>65</v>
      </c>
      <c r="C149" t="s">
        <v>29</v>
      </c>
      <c r="D149" t="s">
        <v>66</v>
      </c>
      <c r="E149" t="s">
        <v>67</v>
      </c>
      <c r="F149" t="s">
        <v>32</v>
      </c>
      <c r="G149" s="1">
        <v>46172</v>
      </c>
      <c r="H149" t="s">
        <v>54</v>
      </c>
      <c r="I149" t="s">
        <v>80</v>
      </c>
      <c r="J149" t="s">
        <v>81</v>
      </c>
      <c r="K149" t="s">
        <v>59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48</v>
      </c>
      <c r="T149" t="s">
        <v>76</v>
      </c>
      <c r="U149" t="s">
        <v>74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63</v>
      </c>
    </row>
    <row r="150" spans="1:28" x14ac:dyDescent="0.35">
      <c r="A150">
        <v>1148</v>
      </c>
      <c r="B150" t="s">
        <v>41</v>
      </c>
      <c r="C150" t="s">
        <v>29</v>
      </c>
      <c r="D150" t="s">
        <v>42</v>
      </c>
      <c r="E150" t="s">
        <v>43</v>
      </c>
      <c r="F150" t="s">
        <v>44</v>
      </c>
      <c r="G150" s="1">
        <v>46201</v>
      </c>
      <c r="H150" t="s">
        <v>68</v>
      </c>
      <c r="I150" t="s">
        <v>34</v>
      </c>
      <c r="J150" t="s">
        <v>35</v>
      </c>
      <c r="K150" t="s">
        <v>47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37</v>
      </c>
      <c r="T150" t="s">
        <v>76</v>
      </c>
      <c r="U150" t="s">
        <v>74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63</v>
      </c>
    </row>
    <row r="151" spans="1:28" x14ac:dyDescent="0.35">
      <c r="A151">
        <v>1149</v>
      </c>
      <c r="B151" t="s">
        <v>60</v>
      </c>
      <c r="C151" t="s">
        <v>29</v>
      </c>
      <c r="D151" t="s">
        <v>61</v>
      </c>
      <c r="E151" t="s">
        <v>62</v>
      </c>
      <c r="F151" t="s">
        <v>32</v>
      </c>
      <c r="G151" s="1">
        <v>46136</v>
      </c>
      <c r="H151" t="s">
        <v>75</v>
      </c>
      <c r="I151" t="s">
        <v>80</v>
      </c>
      <c r="J151" t="s">
        <v>82</v>
      </c>
      <c r="K151" t="s">
        <v>59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64</v>
      </c>
      <c r="T151" t="s">
        <v>76</v>
      </c>
      <c r="U151" t="s">
        <v>39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40</v>
      </c>
    </row>
    <row r="152" spans="1:28" x14ac:dyDescent="0.35">
      <c r="A152">
        <v>1150</v>
      </c>
      <c r="B152" t="s">
        <v>50</v>
      </c>
      <c r="C152" t="s">
        <v>29</v>
      </c>
      <c r="D152" t="s">
        <v>51</v>
      </c>
      <c r="E152" t="s">
        <v>52</v>
      </c>
      <c r="F152" t="s">
        <v>53</v>
      </c>
      <c r="G152" s="1">
        <v>46182</v>
      </c>
      <c r="H152" t="s">
        <v>68</v>
      </c>
      <c r="I152" t="s">
        <v>69</v>
      </c>
      <c r="J152" t="s">
        <v>72</v>
      </c>
      <c r="K152" t="s">
        <v>59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48</v>
      </c>
      <c r="T152" t="s">
        <v>76</v>
      </c>
      <c r="U152" t="s">
        <v>39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63</v>
      </c>
    </row>
    <row r="153" spans="1:28" x14ac:dyDescent="0.35">
      <c r="A153">
        <v>1151</v>
      </c>
      <c r="B153" t="s">
        <v>60</v>
      </c>
      <c r="C153" t="s">
        <v>29</v>
      </c>
      <c r="D153" t="s">
        <v>61</v>
      </c>
      <c r="E153" t="s">
        <v>62</v>
      </c>
      <c r="F153" t="s">
        <v>32</v>
      </c>
      <c r="G153" s="1">
        <v>46164</v>
      </c>
      <c r="H153" t="s">
        <v>54</v>
      </c>
      <c r="I153" t="s">
        <v>69</v>
      </c>
      <c r="J153" t="s">
        <v>70</v>
      </c>
      <c r="K153" t="s">
        <v>36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64</v>
      </c>
      <c r="T153" t="s">
        <v>38</v>
      </c>
      <c r="U153" t="s">
        <v>74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63</v>
      </c>
    </row>
    <row r="154" spans="1:28" x14ac:dyDescent="0.35">
      <c r="A154">
        <v>1152</v>
      </c>
      <c r="B154" t="s">
        <v>60</v>
      </c>
      <c r="C154" t="s">
        <v>29</v>
      </c>
      <c r="D154" t="s">
        <v>61</v>
      </c>
      <c r="E154" t="s">
        <v>62</v>
      </c>
      <c r="F154" t="s">
        <v>32</v>
      </c>
      <c r="G154" s="1">
        <v>46060</v>
      </c>
      <c r="H154" t="s">
        <v>33</v>
      </c>
      <c r="I154" t="s">
        <v>34</v>
      </c>
      <c r="J154" t="s">
        <v>77</v>
      </c>
      <c r="K154" t="s">
        <v>47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64</v>
      </c>
      <c r="T154" t="s">
        <v>76</v>
      </c>
      <c r="U154" t="s">
        <v>74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63</v>
      </c>
    </row>
    <row r="155" spans="1:28" x14ac:dyDescent="0.35">
      <c r="A155">
        <v>1153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s="1">
        <v>46073</v>
      </c>
      <c r="H155" t="s">
        <v>33</v>
      </c>
      <c r="I155" t="s">
        <v>57</v>
      </c>
      <c r="J155" t="s">
        <v>58</v>
      </c>
      <c r="K155" t="s">
        <v>78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64</v>
      </c>
      <c r="T155" t="s">
        <v>76</v>
      </c>
      <c r="U155" t="s">
        <v>55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63</v>
      </c>
    </row>
    <row r="156" spans="1:28" x14ac:dyDescent="0.35">
      <c r="A156">
        <v>1154</v>
      </c>
      <c r="B156" t="s">
        <v>50</v>
      </c>
      <c r="C156" t="s">
        <v>29</v>
      </c>
      <c r="D156" t="s">
        <v>51</v>
      </c>
      <c r="E156" t="s">
        <v>52</v>
      </c>
      <c r="F156" t="s">
        <v>53</v>
      </c>
      <c r="G156" s="1">
        <v>46089</v>
      </c>
      <c r="H156" t="s">
        <v>71</v>
      </c>
      <c r="I156" t="s">
        <v>80</v>
      </c>
      <c r="J156" t="s">
        <v>82</v>
      </c>
      <c r="K156" t="s">
        <v>47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48</v>
      </c>
      <c r="T156" t="s">
        <v>49</v>
      </c>
      <c r="U156" t="s">
        <v>39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56</v>
      </c>
    </row>
    <row r="157" spans="1:28" x14ac:dyDescent="0.35">
      <c r="A157">
        <v>1155</v>
      </c>
      <c r="B157" t="s">
        <v>65</v>
      </c>
      <c r="C157" t="s">
        <v>29</v>
      </c>
      <c r="D157" t="s">
        <v>66</v>
      </c>
      <c r="E157" t="s">
        <v>67</v>
      </c>
      <c r="F157" t="s">
        <v>32</v>
      </c>
      <c r="G157" s="1">
        <v>46111</v>
      </c>
      <c r="H157" t="s">
        <v>71</v>
      </c>
      <c r="I157" t="s">
        <v>57</v>
      </c>
      <c r="J157" t="s">
        <v>58</v>
      </c>
      <c r="K157" t="s">
        <v>36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64</v>
      </c>
      <c r="T157" t="s">
        <v>76</v>
      </c>
      <c r="U157" t="s">
        <v>55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56</v>
      </c>
    </row>
    <row r="158" spans="1:28" x14ac:dyDescent="0.35">
      <c r="A158">
        <v>1156</v>
      </c>
      <c r="B158" t="s">
        <v>50</v>
      </c>
      <c r="C158" t="s">
        <v>29</v>
      </c>
      <c r="D158" t="s">
        <v>51</v>
      </c>
      <c r="E158" t="s">
        <v>52</v>
      </c>
      <c r="F158" t="s">
        <v>53</v>
      </c>
      <c r="G158" s="1">
        <v>46031</v>
      </c>
      <c r="H158" t="s">
        <v>45</v>
      </c>
      <c r="I158" t="s">
        <v>69</v>
      </c>
      <c r="J158" t="s">
        <v>72</v>
      </c>
      <c r="K158" t="s">
        <v>73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37</v>
      </c>
      <c r="T158" t="s">
        <v>38</v>
      </c>
      <c r="U158" t="s">
        <v>39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63</v>
      </c>
    </row>
    <row r="159" spans="1:28" x14ac:dyDescent="0.35">
      <c r="A159">
        <v>1157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1">
        <v>46051</v>
      </c>
      <c r="H159" t="s">
        <v>45</v>
      </c>
      <c r="I159" t="s">
        <v>80</v>
      </c>
      <c r="J159" t="s">
        <v>81</v>
      </c>
      <c r="K159" t="s">
        <v>73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48</v>
      </c>
      <c r="T159" t="s">
        <v>76</v>
      </c>
      <c r="U159" t="s">
        <v>74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79</v>
      </c>
    </row>
    <row r="160" spans="1:28" x14ac:dyDescent="0.35">
      <c r="A160">
        <v>1158</v>
      </c>
      <c r="B160" t="s">
        <v>41</v>
      </c>
      <c r="C160" t="s">
        <v>29</v>
      </c>
      <c r="D160" t="s">
        <v>42</v>
      </c>
      <c r="E160" t="s">
        <v>43</v>
      </c>
      <c r="F160" t="s">
        <v>44</v>
      </c>
      <c r="G160" s="1">
        <v>46105</v>
      </c>
      <c r="H160" t="s">
        <v>71</v>
      </c>
      <c r="I160" t="s">
        <v>34</v>
      </c>
      <c r="J160" t="s">
        <v>46</v>
      </c>
      <c r="K160" t="s">
        <v>59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48</v>
      </c>
      <c r="T160" t="s">
        <v>38</v>
      </c>
      <c r="U160" t="s">
        <v>74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79</v>
      </c>
    </row>
    <row r="161" spans="1:28" x14ac:dyDescent="0.35">
      <c r="A161">
        <v>1159</v>
      </c>
      <c r="B161" t="s">
        <v>41</v>
      </c>
      <c r="C161" t="s">
        <v>29</v>
      </c>
      <c r="D161" t="s">
        <v>42</v>
      </c>
      <c r="E161" t="s">
        <v>43</v>
      </c>
      <c r="F161" t="s">
        <v>44</v>
      </c>
      <c r="G161" s="1">
        <v>46036</v>
      </c>
      <c r="H161" t="s">
        <v>45</v>
      </c>
      <c r="I161" t="s">
        <v>57</v>
      </c>
      <c r="J161" t="s">
        <v>58</v>
      </c>
      <c r="K161" t="s">
        <v>47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64</v>
      </c>
      <c r="T161" t="s">
        <v>76</v>
      </c>
      <c r="U161" t="s">
        <v>55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63</v>
      </c>
    </row>
    <row r="162" spans="1:28" x14ac:dyDescent="0.35">
      <c r="A162">
        <v>1160</v>
      </c>
      <c r="B162" t="s">
        <v>65</v>
      </c>
      <c r="C162" t="s">
        <v>29</v>
      </c>
      <c r="D162" t="s">
        <v>66</v>
      </c>
      <c r="E162" t="s">
        <v>67</v>
      </c>
      <c r="F162" t="s">
        <v>32</v>
      </c>
      <c r="G162" s="1">
        <v>46108</v>
      </c>
      <c r="H162" t="s">
        <v>71</v>
      </c>
      <c r="I162" t="s">
        <v>34</v>
      </c>
      <c r="J162" t="s">
        <v>77</v>
      </c>
      <c r="K162" t="s">
        <v>78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48</v>
      </c>
      <c r="T162" t="s">
        <v>76</v>
      </c>
      <c r="U162" t="s">
        <v>39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63</v>
      </c>
    </row>
    <row r="163" spans="1:28" x14ac:dyDescent="0.35">
      <c r="A163">
        <v>1161</v>
      </c>
      <c r="B163" t="s">
        <v>65</v>
      </c>
      <c r="C163" t="s">
        <v>29</v>
      </c>
      <c r="D163" t="s">
        <v>66</v>
      </c>
      <c r="E163" t="s">
        <v>67</v>
      </c>
      <c r="F163" t="s">
        <v>32</v>
      </c>
      <c r="G163" s="1">
        <v>46137</v>
      </c>
      <c r="H163" t="s">
        <v>75</v>
      </c>
      <c r="I163" t="s">
        <v>69</v>
      </c>
      <c r="J163" t="s">
        <v>72</v>
      </c>
      <c r="K163" t="s">
        <v>78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37</v>
      </c>
      <c r="T163" t="s">
        <v>76</v>
      </c>
      <c r="U163" t="s">
        <v>55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63</v>
      </c>
    </row>
    <row r="164" spans="1:28" x14ac:dyDescent="0.35">
      <c r="A164">
        <v>1162</v>
      </c>
      <c r="B164" t="s">
        <v>50</v>
      </c>
      <c r="C164" t="s">
        <v>29</v>
      </c>
      <c r="D164" t="s">
        <v>51</v>
      </c>
      <c r="E164" t="s">
        <v>52</v>
      </c>
      <c r="F164" t="s">
        <v>53</v>
      </c>
      <c r="G164" s="1">
        <v>46041</v>
      </c>
      <c r="H164" t="s">
        <v>45</v>
      </c>
      <c r="I164" t="s">
        <v>57</v>
      </c>
      <c r="J164" t="s">
        <v>58</v>
      </c>
      <c r="K164" t="s">
        <v>47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48</v>
      </c>
      <c r="T164" t="s">
        <v>76</v>
      </c>
      <c r="U164" t="s">
        <v>74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40</v>
      </c>
    </row>
    <row r="165" spans="1:28" x14ac:dyDescent="0.35">
      <c r="A165">
        <v>1163</v>
      </c>
      <c r="B165" t="s">
        <v>50</v>
      </c>
      <c r="C165" t="s">
        <v>29</v>
      </c>
      <c r="D165" t="s">
        <v>51</v>
      </c>
      <c r="E165" t="s">
        <v>52</v>
      </c>
      <c r="F165" t="s">
        <v>53</v>
      </c>
      <c r="G165" s="1">
        <v>46201</v>
      </c>
      <c r="H165" t="s">
        <v>68</v>
      </c>
      <c r="I165" t="s">
        <v>80</v>
      </c>
      <c r="J165" t="s">
        <v>81</v>
      </c>
      <c r="K165" t="s">
        <v>73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48</v>
      </c>
      <c r="T165" t="s">
        <v>49</v>
      </c>
      <c r="U165" t="s">
        <v>39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63</v>
      </c>
    </row>
    <row r="166" spans="1:28" x14ac:dyDescent="0.35">
      <c r="A166">
        <v>1164</v>
      </c>
      <c r="B166" t="s">
        <v>50</v>
      </c>
      <c r="C166" t="s">
        <v>29</v>
      </c>
      <c r="D166" t="s">
        <v>51</v>
      </c>
      <c r="E166" t="s">
        <v>52</v>
      </c>
      <c r="F166" t="s">
        <v>53</v>
      </c>
      <c r="G166" s="1">
        <v>46193</v>
      </c>
      <c r="H166" t="s">
        <v>68</v>
      </c>
      <c r="I166" t="s">
        <v>34</v>
      </c>
      <c r="J166" t="s">
        <v>77</v>
      </c>
      <c r="K166" t="s">
        <v>59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48</v>
      </c>
      <c r="T166" t="s">
        <v>76</v>
      </c>
      <c r="U166" t="s">
        <v>39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63</v>
      </c>
    </row>
    <row r="167" spans="1:28" x14ac:dyDescent="0.35">
      <c r="A167">
        <v>1165</v>
      </c>
      <c r="B167" t="s">
        <v>50</v>
      </c>
      <c r="C167" t="s">
        <v>29</v>
      </c>
      <c r="D167" t="s">
        <v>51</v>
      </c>
      <c r="E167" t="s">
        <v>52</v>
      </c>
      <c r="F167" t="s">
        <v>53</v>
      </c>
      <c r="G167" s="1">
        <v>46184</v>
      </c>
      <c r="H167" t="s">
        <v>68</v>
      </c>
      <c r="I167" t="s">
        <v>69</v>
      </c>
      <c r="J167" t="s">
        <v>70</v>
      </c>
      <c r="K167" t="s">
        <v>36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64</v>
      </c>
      <c r="T167" t="s">
        <v>76</v>
      </c>
      <c r="U167" t="s">
        <v>39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79</v>
      </c>
    </row>
    <row r="168" spans="1:28" x14ac:dyDescent="0.35">
      <c r="A168">
        <v>1166</v>
      </c>
      <c r="B168" t="s">
        <v>65</v>
      </c>
      <c r="C168" t="s">
        <v>29</v>
      </c>
      <c r="D168" t="s">
        <v>66</v>
      </c>
      <c r="E168" t="s">
        <v>67</v>
      </c>
      <c r="F168" t="s">
        <v>32</v>
      </c>
      <c r="G168" s="1">
        <v>46053</v>
      </c>
      <c r="H168" t="s">
        <v>45</v>
      </c>
      <c r="I168" t="s">
        <v>69</v>
      </c>
      <c r="J168" t="s">
        <v>70</v>
      </c>
      <c r="K168" t="s">
        <v>78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48</v>
      </c>
      <c r="T168" t="s">
        <v>38</v>
      </c>
      <c r="U168" t="s">
        <v>55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79</v>
      </c>
    </row>
    <row r="169" spans="1:28" x14ac:dyDescent="0.35">
      <c r="A169">
        <v>1167</v>
      </c>
      <c r="B169" t="s">
        <v>60</v>
      </c>
      <c r="C169" t="s">
        <v>29</v>
      </c>
      <c r="D169" t="s">
        <v>61</v>
      </c>
      <c r="E169" t="s">
        <v>62</v>
      </c>
      <c r="F169" t="s">
        <v>32</v>
      </c>
      <c r="G169" s="1">
        <v>46056</v>
      </c>
      <c r="H169" t="s">
        <v>33</v>
      </c>
      <c r="I169" t="s">
        <v>69</v>
      </c>
      <c r="J169" t="s">
        <v>72</v>
      </c>
      <c r="K169" t="s">
        <v>36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64</v>
      </c>
      <c r="T169" t="s">
        <v>76</v>
      </c>
      <c r="U169" t="s">
        <v>74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56</v>
      </c>
    </row>
    <row r="170" spans="1:28" x14ac:dyDescent="0.35">
      <c r="A170">
        <v>1168</v>
      </c>
      <c r="B170" t="s">
        <v>50</v>
      </c>
      <c r="C170" t="s">
        <v>29</v>
      </c>
      <c r="D170" t="s">
        <v>51</v>
      </c>
      <c r="E170" t="s">
        <v>52</v>
      </c>
      <c r="F170" t="s">
        <v>53</v>
      </c>
      <c r="G170" s="1">
        <v>46159</v>
      </c>
      <c r="H170" t="s">
        <v>54</v>
      </c>
      <c r="I170" t="s">
        <v>34</v>
      </c>
      <c r="J170" t="s">
        <v>77</v>
      </c>
      <c r="K170" t="s">
        <v>78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37</v>
      </c>
      <c r="T170" t="s">
        <v>49</v>
      </c>
      <c r="U170" t="s">
        <v>39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56</v>
      </c>
    </row>
    <row r="171" spans="1:28" x14ac:dyDescent="0.35">
      <c r="A171">
        <v>1169</v>
      </c>
      <c r="B171" t="s">
        <v>50</v>
      </c>
      <c r="C171" t="s">
        <v>29</v>
      </c>
      <c r="D171" t="s">
        <v>51</v>
      </c>
      <c r="E171" t="s">
        <v>52</v>
      </c>
      <c r="F171" t="s">
        <v>53</v>
      </c>
      <c r="G171" s="1">
        <v>46199</v>
      </c>
      <c r="H171" t="s">
        <v>68</v>
      </c>
      <c r="I171" t="s">
        <v>57</v>
      </c>
      <c r="J171" t="s">
        <v>58</v>
      </c>
      <c r="K171" t="s">
        <v>36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64</v>
      </c>
      <c r="T171" t="s">
        <v>76</v>
      </c>
      <c r="U171" t="s">
        <v>74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79</v>
      </c>
    </row>
    <row r="172" spans="1:28" x14ac:dyDescent="0.35">
      <c r="A172">
        <v>1170</v>
      </c>
      <c r="B172" t="s">
        <v>50</v>
      </c>
      <c r="C172" t="s">
        <v>29</v>
      </c>
      <c r="D172" t="s">
        <v>51</v>
      </c>
      <c r="E172" t="s">
        <v>52</v>
      </c>
      <c r="F172" t="s">
        <v>53</v>
      </c>
      <c r="G172" s="1">
        <v>46131</v>
      </c>
      <c r="H172" t="s">
        <v>75</v>
      </c>
      <c r="I172" t="s">
        <v>69</v>
      </c>
      <c r="J172" t="s">
        <v>72</v>
      </c>
      <c r="K172" t="s">
        <v>47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64</v>
      </c>
      <c r="T172" t="s">
        <v>38</v>
      </c>
      <c r="U172" t="s">
        <v>55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63</v>
      </c>
    </row>
    <row r="173" spans="1:28" x14ac:dyDescent="0.35">
      <c r="A173">
        <v>1171</v>
      </c>
      <c r="B173" t="s">
        <v>60</v>
      </c>
      <c r="C173" t="s">
        <v>29</v>
      </c>
      <c r="D173" t="s">
        <v>61</v>
      </c>
      <c r="E173" t="s">
        <v>62</v>
      </c>
      <c r="F173" t="s">
        <v>32</v>
      </c>
      <c r="G173" s="1">
        <v>46178</v>
      </c>
      <c r="H173" t="s">
        <v>68</v>
      </c>
      <c r="I173" t="s">
        <v>69</v>
      </c>
      <c r="J173" t="s">
        <v>70</v>
      </c>
      <c r="K173" t="s">
        <v>47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48</v>
      </c>
      <c r="T173" t="s">
        <v>49</v>
      </c>
      <c r="U173" t="s">
        <v>74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63</v>
      </c>
    </row>
    <row r="174" spans="1:28" x14ac:dyDescent="0.35">
      <c r="A174">
        <v>1172</v>
      </c>
      <c r="B174" t="s">
        <v>50</v>
      </c>
      <c r="C174" t="s">
        <v>29</v>
      </c>
      <c r="D174" t="s">
        <v>51</v>
      </c>
      <c r="E174" t="s">
        <v>52</v>
      </c>
      <c r="F174" t="s">
        <v>53</v>
      </c>
      <c r="G174" s="1">
        <v>46100</v>
      </c>
      <c r="H174" t="s">
        <v>71</v>
      </c>
      <c r="I174" t="s">
        <v>34</v>
      </c>
      <c r="J174" t="s">
        <v>46</v>
      </c>
      <c r="K174" t="s">
        <v>36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48</v>
      </c>
      <c r="T174" t="s">
        <v>49</v>
      </c>
      <c r="U174" t="s">
        <v>55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79</v>
      </c>
    </row>
    <row r="175" spans="1:28" x14ac:dyDescent="0.35">
      <c r="A175">
        <v>1173</v>
      </c>
      <c r="B175" t="s">
        <v>60</v>
      </c>
      <c r="C175" t="s">
        <v>29</v>
      </c>
      <c r="D175" t="s">
        <v>61</v>
      </c>
      <c r="E175" t="s">
        <v>62</v>
      </c>
      <c r="F175" t="s">
        <v>32</v>
      </c>
      <c r="G175" s="1">
        <v>46055</v>
      </c>
      <c r="H175" t="s">
        <v>33</v>
      </c>
      <c r="I175" t="s">
        <v>57</v>
      </c>
      <c r="J175" t="s">
        <v>83</v>
      </c>
      <c r="K175" t="s">
        <v>59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37</v>
      </c>
      <c r="T175" t="s">
        <v>49</v>
      </c>
      <c r="U175" t="s">
        <v>74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40</v>
      </c>
    </row>
    <row r="176" spans="1:28" x14ac:dyDescent="0.35">
      <c r="A176">
        <v>1174</v>
      </c>
      <c r="B176" t="s">
        <v>41</v>
      </c>
      <c r="C176" t="s">
        <v>29</v>
      </c>
      <c r="D176" t="s">
        <v>42</v>
      </c>
      <c r="E176" t="s">
        <v>43</v>
      </c>
      <c r="F176" t="s">
        <v>44</v>
      </c>
      <c r="G176" s="1">
        <v>46129</v>
      </c>
      <c r="H176" t="s">
        <v>75</v>
      </c>
      <c r="I176" t="s">
        <v>80</v>
      </c>
      <c r="J176" t="s">
        <v>82</v>
      </c>
      <c r="K176" t="s">
        <v>47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37</v>
      </c>
      <c r="T176" t="s">
        <v>76</v>
      </c>
      <c r="U176" t="s">
        <v>39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40</v>
      </c>
    </row>
    <row r="177" spans="1:28" x14ac:dyDescent="0.35">
      <c r="A177">
        <v>1175</v>
      </c>
      <c r="B177" t="s">
        <v>60</v>
      </c>
      <c r="C177" t="s">
        <v>29</v>
      </c>
      <c r="D177" t="s">
        <v>61</v>
      </c>
      <c r="E177" t="s">
        <v>62</v>
      </c>
      <c r="F177" t="s">
        <v>32</v>
      </c>
      <c r="G177" s="1">
        <v>46103</v>
      </c>
      <c r="H177" t="s">
        <v>71</v>
      </c>
      <c r="I177" t="s">
        <v>69</v>
      </c>
      <c r="J177" t="s">
        <v>70</v>
      </c>
      <c r="K177" t="s">
        <v>59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64</v>
      </c>
      <c r="T177" t="s">
        <v>49</v>
      </c>
      <c r="U177" t="s">
        <v>74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56</v>
      </c>
    </row>
    <row r="178" spans="1:28" x14ac:dyDescent="0.35">
      <c r="A178">
        <v>1176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s="1">
        <v>46109</v>
      </c>
      <c r="H178" t="s">
        <v>71</v>
      </c>
      <c r="I178" t="s">
        <v>80</v>
      </c>
      <c r="J178" t="s">
        <v>81</v>
      </c>
      <c r="K178" t="s">
        <v>59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48</v>
      </c>
      <c r="T178" t="s">
        <v>49</v>
      </c>
      <c r="U178" t="s">
        <v>39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79</v>
      </c>
    </row>
    <row r="179" spans="1:28" x14ac:dyDescent="0.35">
      <c r="A179">
        <v>1177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s="1">
        <v>46075</v>
      </c>
      <c r="H179" t="s">
        <v>33</v>
      </c>
      <c r="I179" t="s">
        <v>34</v>
      </c>
      <c r="J179" t="s">
        <v>77</v>
      </c>
      <c r="K179" t="s">
        <v>36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64</v>
      </c>
      <c r="T179" t="s">
        <v>49</v>
      </c>
      <c r="U179" t="s">
        <v>74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79</v>
      </c>
    </row>
    <row r="180" spans="1:28" x14ac:dyDescent="0.35">
      <c r="A180">
        <v>1178</v>
      </c>
      <c r="B180" t="s">
        <v>65</v>
      </c>
      <c r="C180" t="s">
        <v>29</v>
      </c>
      <c r="D180" t="s">
        <v>66</v>
      </c>
      <c r="E180" t="s">
        <v>67</v>
      </c>
      <c r="F180" t="s">
        <v>32</v>
      </c>
      <c r="G180" s="1">
        <v>46147</v>
      </c>
      <c r="H180" t="s">
        <v>54</v>
      </c>
      <c r="I180" t="s">
        <v>57</v>
      </c>
      <c r="J180" t="s">
        <v>83</v>
      </c>
      <c r="K180" t="s">
        <v>36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64</v>
      </c>
      <c r="T180" t="s">
        <v>38</v>
      </c>
      <c r="U180" t="s">
        <v>39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63</v>
      </c>
    </row>
    <row r="181" spans="1:28" x14ac:dyDescent="0.35">
      <c r="A181">
        <v>1179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s="1">
        <v>46084</v>
      </c>
      <c r="H181" t="s">
        <v>71</v>
      </c>
      <c r="I181" t="s">
        <v>69</v>
      </c>
      <c r="J181" t="s">
        <v>72</v>
      </c>
      <c r="K181" t="s">
        <v>36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37</v>
      </c>
      <c r="T181" t="s">
        <v>76</v>
      </c>
      <c r="U181" t="s">
        <v>55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79</v>
      </c>
    </row>
    <row r="182" spans="1:28" x14ac:dyDescent="0.35">
      <c r="A182">
        <v>1180</v>
      </c>
      <c r="B182" t="s">
        <v>60</v>
      </c>
      <c r="C182" t="s">
        <v>29</v>
      </c>
      <c r="D182" t="s">
        <v>61</v>
      </c>
      <c r="E182" t="s">
        <v>62</v>
      </c>
      <c r="F182" t="s">
        <v>32</v>
      </c>
      <c r="G182" s="1">
        <v>46185</v>
      </c>
      <c r="H182" t="s">
        <v>68</v>
      </c>
      <c r="I182" t="s">
        <v>34</v>
      </c>
      <c r="J182" t="s">
        <v>46</v>
      </c>
      <c r="K182" t="s">
        <v>78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48</v>
      </c>
      <c r="T182" t="s">
        <v>76</v>
      </c>
      <c r="U182" t="s">
        <v>39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40</v>
      </c>
    </row>
    <row r="183" spans="1:28" x14ac:dyDescent="0.35">
      <c r="A183">
        <v>1181</v>
      </c>
      <c r="B183" t="s">
        <v>50</v>
      </c>
      <c r="C183" t="s">
        <v>29</v>
      </c>
      <c r="D183" t="s">
        <v>51</v>
      </c>
      <c r="E183" t="s">
        <v>52</v>
      </c>
      <c r="F183" t="s">
        <v>53</v>
      </c>
      <c r="G183" s="1">
        <v>46133</v>
      </c>
      <c r="H183" t="s">
        <v>75</v>
      </c>
      <c r="I183" t="s">
        <v>80</v>
      </c>
      <c r="J183" t="s">
        <v>82</v>
      </c>
      <c r="K183" t="s">
        <v>47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48</v>
      </c>
      <c r="T183" t="s">
        <v>38</v>
      </c>
      <c r="U183" t="s">
        <v>39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40</v>
      </c>
    </row>
    <row r="184" spans="1:28" x14ac:dyDescent="0.35">
      <c r="A184">
        <v>1182</v>
      </c>
      <c r="B184" t="s">
        <v>41</v>
      </c>
      <c r="C184" t="s">
        <v>29</v>
      </c>
      <c r="D184" t="s">
        <v>42</v>
      </c>
      <c r="E184" t="s">
        <v>43</v>
      </c>
      <c r="F184" t="s">
        <v>44</v>
      </c>
      <c r="G184" s="1">
        <v>46038</v>
      </c>
      <c r="H184" t="s">
        <v>45</v>
      </c>
      <c r="I184" t="s">
        <v>57</v>
      </c>
      <c r="J184" t="s">
        <v>83</v>
      </c>
      <c r="K184" t="s">
        <v>59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48</v>
      </c>
      <c r="T184" t="s">
        <v>49</v>
      </c>
      <c r="U184" t="s">
        <v>74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63</v>
      </c>
    </row>
    <row r="185" spans="1:28" x14ac:dyDescent="0.35">
      <c r="A185">
        <v>1183</v>
      </c>
      <c r="B185" t="s">
        <v>41</v>
      </c>
      <c r="C185" t="s">
        <v>29</v>
      </c>
      <c r="D185" t="s">
        <v>42</v>
      </c>
      <c r="E185" t="s">
        <v>43</v>
      </c>
      <c r="F185" t="s">
        <v>44</v>
      </c>
      <c r="G185" s="1">
        <v>46110</v>
      </c>
      <c r="H185" t="s">
        <v>71</v>
      </c>
      <c r="I185" t="s">
        <v>80</v>
      </c>
      <c r="J185" t="s">
        <v>81</v>
      </c>
      <c r="K185" t="s">
        <v>73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48</v>
      </c>
      <c r="T185" t="s">
        <v>76</v>
      </c>
      <c r="U185" t="s">
        <v>74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40</v>
      </c>
    </row>
    <row r="186" spans="1:28" x14ac:dyDescent="0.35">
      <c r="A186">
        <v>1184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s="1">
        <v>46111</v>
      </c>
      <c r="H186" t="s">
        <v>71</v>
      </c>
      <c r="I186" t="s">
        <v>34</v>
      </c>
      <c r="J186" t="s">
        <v>46</v>
      </c>
      <c r="K186" t="s">
        <v>78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48</v>
      </c>
      <c r="T186" t="s">
        <v>38</v>
      </c>
      <c r="U186" t="s">
        <v>39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40</v>
      </c>
    </row>
    <row r="187" spans="1:28" x14ac:dyDescent="0.35">
      <c r="A187">
        <v>1185</v>
      </c>
      <c r="B187" t="s">
        <v>65</v>
      </c>
      <c r="C187" t="s">
        <v>29</v>
      </c>
      <c r="D187" t="s">
        <v>66</v>
      </c>
      <c r="E187" t="s">
        <v>67</v>
      </c>
      <c r="F187" t="s">
        <v>32</v>
      </c>
      <c r="G187" s="1">
        <v>46181</v>
      </c>
      <c r="H187" t="s">
        <v>68</v>
      </c>
      <c r="I187" t="s">
        <v>57</v>
      </c>
      <c r="J187" t="s">
        <v>58</v>
      </c>
      <c r="K187" t="s">
        <v>78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48</v>
      </c>
      <c r="T187" t="s">
        <v>49</v>
      </c>
      <c r="U187" t="s">
        <v>74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63</v>
      </c>
    </row>
    <row r="188" spans="1:28" x14ac:dyDescent="0.35">
      <c r="A188">
        <v>1186</v>
      </c>
      <c r="B188" t="s">
        <v>60</v>
      </c>
      <c r="C188" t="s">
        <v>29</v>
      </c>
      <c r="D188" t="s">
        <v>61</v>
      </c>
      <c r="E188" t="s">
        <v>62</v>
      </c>
      <c r="F188" t="s">
        <v>32</v>
      </c>
      <c r="G188" s="1">
        <v>46114</v>
      </c>
      <c r="H188" t="s">
        <v>75</v>
      </c>
      <c r="I188" t="s">
        <v>80</v>
      </c>
      <c r="J188" t="s">
        <v>81</v>
      </c>
      <c r="K188" t="s">
        <v>73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48</v>
      </c>
      <c r="T188" t="s">
        <v>49</v>
      </c>
      <c r="U188" t="s">
        <v>39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63</v>
      </c>
    </row>
    <row r="189" spans="1:28" x14ac:dyDescent="0.35">
      <c r="A189">
        <v>1187</v>
      </c>
      <c r="B189" t="s">
        <v>50</v>
      </c>
      <c r="C189" t="s">
        <v>29</v>
      </c>
      <c r="D189" t="s">
        <v>51</v>
      </c>
      <c r="E189" t="s">
        <v>52</v>
      </c>
      <c r="F189" t="s">
        <v>53</v>
      </c>
      <c r="G189" s="1">
        <v>46036</v>
      </c>
      <c r="H189" t="s">
        <v>45</v>
      </c>
      <c r="I189" t="s">
        <v>57</v>
      </c>
      <c r="J189" t="s">
        <v>58</v>
      </c>
      <c r="K189" t="s">
        <v>73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37</v>
      </c>
      <c r="T189" t="s">
        <v>76</v>
      </c>
      <c r="U189" t="s">
        <v>39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56</v>
      </c>
    </row>
    <row r="190" spans="1:28" x14ac:dyDescent="0.35">
      <c r="A190">
        <v>1188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s="1">
        <v>46086</v>
      </c>
      <c r="H190" t="s">
        <v>71</v>
      </c>
      <c r="I190" t="s">
        <v>69</v>
      </c>
      <c r="J190" t="s">
        <v>70</v>
      </c>
      <c r="K190" t="s">
        <v>78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37</v>
      </c>
      <c r="T190" t="s">
        <v>38</v>
      </c>
      <c r="U190" t="s">
        <v>74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79</v>
      </c>
    </row>
    <row r="191" spans="1:28" x14ac:dyDescent="0.35">
      <c r="A191">
        <v>1189</v>
      </c>
      <c r="B191" t="s">
        <v>41</v>
      </c>
      <c r="C191" t="s">
        <v>29</v>
      </c>
      <c r="D191" t="s">
        <v>42</v>
      </c>
      <c r="E191" t="s">
        <v>43</v>
      </c>
      <c r="F191" t="s">
        <v>44</v>
      </c>
      <c r="G191" s="1">
        <v>46142</v>
      </c>
      <c r="H191" t="s">
        <v>75</v>
      </c>
      <c r="I191" t="s">
        <v>34</v>
      </c>
      <c r="J191" t="s">
        <v>46</v>
      </c>
      <c r="K191" t="s">
        <v>36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48</v>
      </c>
      <c r="T191" t="s">
        <v>38</v>
      </c>
      <c r="U191" t="s">
        <v>39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79</v>
      </c>
    </row>
    <row r="192" spans="1:28" x14ac:dyDescent="0.35">
      <c r="A192">
        <v>1190</v>
      </c>
      <c r="B192" t="s">
        <v>60</v>
      </c>
      <c r="C192" t="s">
        <v>29</v>
      </c>
      <c r="D192" t="s">
        <v>61</v>
      </c>
      <c r="E192" t="s">
        <v>62</v>
      </c>
      <c r="F192" t="s">
        <v>32</v>
      </c>
      <c r="G192" s="1">
        <v>46172</v>
      </c>
      <c r="H192" t="s">
        <v>54</v>
      </c>
      <c r="I192" t="s">
        <v>80</v>
      </c>
      <c r="J192" t="s">
        <v>81</v>
      </c>
      <c r="K192" t="s">
        <v>59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37</v>
      </c>
      <c r="T192" t="s">
        <v>76</v>
      </c>
      <c r="U192" t="s">
        <v>55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40</v>
      </c>
    </row>
    <row r="193" spans="1:28" x14ac:dyDescent="0.35">
      <c r="A193">
        <v>1191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s="1">
        <v>46179</v>
      </c>
      <c r="H193" t="s">
        <v>68</v>
      </c>
      <c r="I193" t="s">
        <v>57</v>
      </c>
      <c r="J193" t="s">
        <v>58</v>
      </c>
      <c r="K193" t="s">
        <v>47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48</v>
      </c>
      <c r="T193" t="s">
        <v>38</v>
      </c>
      <c r="U193" t="s">
        <v>39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63</v>
      </c>
    </row>
    <row r="194" spans="1:28" x14ac:dyDescent="0.35">
      <c r="A194">
        <v>1192</v>
      </c>
      <c r="B194" t="s">
        <v>60</v>
      </c>
      <c r="C194" t="s">
        <v>29</v>
      </c>
      <c r="D194" t="s">
        <v>61</v>
      </c>
      <c r="E194" t="s">
        <v>62</v>
      </c>
      <c r="F194" t="s">
        <v>32</v>
      </c>
      <c r="G194" s="1">
        <v>46063</v>
      </c>
      <c r="H194" t="s">
        <v>33</v>
      </c>
      <c r="I194" t="s">
        <v>34</v>
      </c>
      <c r="J194" t="s">
        <v>35</v>
      </c>
      <c r="K194" t="s">
        <v>36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64</v>
      </c>
      <c r="T194" t="s">
        <v>76</v>
      </c>
      <c r="U194" t="s">
        <v>39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79</v>
      </c>
    </row>
    <row r="195" spans="1:28" x14ac:dyDescent="0.35">
      <c r="A195">
        <v>1193</v>
      </c>
      <c r="B195" t="s">
        <v>50</v>
      </c>
      <c r="C195" t="s">
        <v>29</v>
      </c>
      <c r="D195" t="s">
        <v>51</v>
      </c>
      <c r="E195" t="s">
        <v>52</v>
      </c>
      <c r="F195" t="s">
        <v>53</v>
      </c>
      <c r="G195" s="1">
        <v>46195</v>
      </c>
      <c r="H195" t="s">
        <v>68</v>
      </c>
      <c r="I195" t="s">
        <v>80</v>
      </c>
      <c r="J195" t="s">
        <v>81</v>
      </c>
      <c r="K195" t="s">
        <v>59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48</v>
      </c>
      <c r="T195" t="s">
        <v>38</v>
      </c>
      <c r="U195" t="s">
        <v>55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79</v>
      </c>
    </row>
    <row r="196" spans="1:28" x14ac:dyDescent="0.35">
      <c r="A196">
        <v>1194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s="1">
        <v>46056</v>
      </c>
      <c r="H196" t="s">
        <v>33</v>
      </c>
      <c r="I196" t="s">
        <v>69</v>
      </c>
      <c r="J196" t="s">
        <v>70</v>
      </c>
      <c r="K196" t="s">
        <v>36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48</v>
      </c>
      <c r="T196" t="s">
        <v>38</v>
      </c>
      <c r="U196" t="s">
        <v>39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63</v>
      </c>
    </row>
    <row r="197" spans="1:28" x14ac:dyDescent="0.35">
      <c r="A197">
        <v>1195</v>
      </c>
      <c r="B197" t="s">
        <v>65</v>
      </c>
      <c r="C197" t="s">
        <v>29</v>
      </c>
      <c r="D197" t="s">
        <v>66</v>
      </c>
      <c r="E197" t="s">
        <v>67</v>
      </c>
      <c r="F197" t="s">
        <v>32</v>
      </c>
      <c r="G197" s="1">
        <v>46200</v>
      </c>
      <c r="H197" t="s">
        <v>68</v>
      </c>
      <c r="I197" t="s">
        <v>57</v>
      </c>
      <c r="J197" t="s">
        <v>58</v>
      </c>
      <c r="K197" t="s">
        <v>78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37</v>
      </c>
      <c r="T197" t="s">
        <v>38</v>
      </c>
      <c r="U197" t="s">
        <v>39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40</v>
      </c>
    </row>
    <row r="198" spans="1:28" x14ac:dyDescent="0.35">
      <c r="A198">
        <v>1196</v>
      </c>
      <c r="B198" t="s">
        <v>41</v>
      </c>
      <c r="C198" t="s">
        <v>29</v>
      </c>
      <c r="D198" t="s">
        <v>42</v>
      </c>
      <c r="E198" t="s">
        <v>43</v>
      </c>
      <c r="F198" t="s">
        <v>44</v>
      </c>
      <c r="G198" s="1">
        <v>46133</v>
      </c>
      <c r="H198" t="s">
        <v>75</v>
      </c>
      <c r="I198" t="s">
        <v>80</v>
      </c>
      <c r="J198" t="s">
        <v>81</v>
      </c>
      <c r="K198" t="s">
        <v>47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64</v>
      </c>
      <c r="T198" t="s">
        <v>76</v>
      </c>
      <c r="U198" t="s">
        <v>39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79</v>
      </c>
    </row>
    <row r="199" spans="1:28" x14ac:dyDescent="0.35">
      <c r="A199">
        <v>1197</v>
      </c>
      <c r="B199" t="s">
        <v>60</v>
      </c>
      <c r="C199" t="s">
        <v>29</v>
      </c>
      <c r="D199" t="s">
        <v>61</v>
      </c>
      <c r="E199" t="s">
        <v>62</v>
      </c>
      <c r="F199" t="s">
        <v>32</v>
      </c>
      <c r="G199" s="1">
        <v>46130</v>
      </c>
      <c r="H199" t="s">
        <v>75</v>
      </c>
      <c r="I199" t="s">
        <v>34</v>
      </c>
      <c r="J199" t="s">
        <v>46</v>
      </c>
      <c r="K199" t="s">
        <v>47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37</v>
      </c>
      <c r="T199" t="s">
        <v>49</v>
      </c>
      <c r="U199" t="s">
        <v>39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40</v>
      </c>
    </row>
    <row r="200" spans="1:28" x14ac:dyDescent="0.35">
      <c r="A200">
        <v>1198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s="1">
        <v>46047</v>
      </c>
      <c r="H200" t="s">
        <v>45</v>
      </c>
      <c r="I200" t="s">
        <v>57</v>
      </c>
      <c r="J200" t="s">
        <v>58</v>
      </c>
      <c r="K200" t="s">
        <v>47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48</v>
      </c>
      <c r="T200" t="s">
        <v>38</v>
      </c>
      <c r="U200" t="s">
        <v>55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56</v>
      </c>
    </row>
    <row r="201" spans="1:28" x14ac:dyDescent="0.35">
      <c r="A201">
        <v>1199</v>
      </c>
      <c r="B201" t="s">
        <v>50</v>
      </c>
      <c r="C201" t="s">
        <v>29</v>
      </c>
      <c r="D201" t="s">
        <v>51</v>
      </c>
      <c r="E201" t="s">
        <v>52</v>
      </c>
      <c r="F201" t="s">
        <v>53</v>
      </c>
      <c r="G201" s="1">
        <v>46111</v>
      </c>
      <c r="H201" t="s">
        <v>71</v>
      </c>
      <c r="I201" t="s">
        <v>80</v>
      </c>
      <c r="J201" t="s">
        <v>82</v>
      </c>
      <c r="K201" t="s">
        <v>47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37</v>
      </c>
      <c r="T201" t="s">
        <v>49</v>
      </c>
      <c r="U201" t="s">
        <v>39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63</v>
      </c>
    </row>
    <row r="202" spans="1:28" x14ac:dyDescent="0.35">
      <c r="A202">
        <v>1200</v>
      </c>
      <c r="B202" t="s">
        <v>41</v>
      </c>
      <c r="C202" t="s">
        <v>29</v>
      </c>
      <c r="D202" t="s">
        <v>42</v>
      </c>
      <c r="E202" t="s">
        <v>43</v>
      </c>
      <c r="F202" t="s">
        <v>44</v>
      </c>
      <c r="G202" s="1">
        <v>46081</v>
      </c>
      <c r="H202" t="s">
        <v>33</v>
      </c>
      <c r="I202" t="s">
        <v>34</v>
      </c>
      <c r="J202" t="s">
        <v>46</v>
      </c>
      <c r="K202" t="s">
        <v>73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64</v>
      </c>
      <c r="T202" t="s">
        <v>38</v>
      </c>
      <c r="U202" t="s">
        <v>55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63</v>
      </c>
    </row>
    <row r="203" spans="1:28" x14ac:dyDescent="0.35">
      <c r="A203">
        <v>1201</v>
      </c>
      <c r="B203" t="s">
        <v>60</v>
      </c>
      <c r="C203" t="s">
        <v>29</v>
      </c>
      <c r="D203" t="s">
        <v>61</v>
      </c>
      <c r="E203" t="s">
        <v>62</v>
      </c>
      <c r="F203" t="s">
        <v>32</v>
      </c>
      <c r="G203" s="1">
        <v>46129</v>
      </c>
      <c r="H203" t="s">
        <v>75</v>
      </c>
      <c r="I203" t="s">
        <v>34</v>
      </c>
      <c r="J203" t="s">
        <v>77</v>
      </c>
      <c r="K203" t="s">
        <v>36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64</v>
      </c>
      <c r="T203" t="s">
        <v>49</v>
      </c>
      <c r="U203" t="s">
        <v>74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63</v>
      </c>
    </row>
    <row r="204" spans="1:28" x14ac:dyDescent="0.35">
      <c r="A204">
        <v>1202</v>
      </c>
      <c r="B204" t="s">
        <v>50</v>
      </c>
      <c r="C204" t="s">
        <v>29</v>
      </c>
      <c r="D204" t="s">
        <v>51</v>
      </c>
      <c r="E204" t="s">
        <v>52</v>
      </c>
      <c r="F204" t="s">
        <v>53</v>
      </c>
      <c r="G204" s="1">
        <v>46051</v>
      </c>
      <c r="H204" t="s">
        <v>45</v>
      </c>
      <c r="I204" t="s">
        <v>34</v>
      </c>
      <c r="J204" t="s">
        <v>46</v>
      </c>
      <c r="K204" t="s">
        <v>78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64</v>
      </c>
      <c r="T204" t="s">
        <v>76</v>
      </c>
      <c r="U204" t="s">
        <v>39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56</v>
      </c>
    </row>
    <row r="205" spans="1:28" x14ac:dyDescent="0.35">
      <c r="A205">
        <v>1203</v>
      </c>
      <c r="B205" t="s">
        <v>50</v>
      </c>
      <c r="C205" t="s">
        <v>29</v>
      </c>
      <c r="D205" t="s">
        <v>51</v>
      </c>
      <c r="E205" t="s">
        <v>52</v>
      </c>
      <c r="F205" t="s">
        <v>53</v>
      </c>
      <c r="G205" s="1">
        <v>46110</v>
      </c>
      <c r="H205" t="s">
        <v>71</v>
      </c>
      <c r="I205" t="s">
        <v>57</v>
      </c>
      <c r="J205" t="s">
        <v>58</v>
      </c>
      <c r="K205" t="s">
        <v>78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37</v>
      </c>
      <c r="T205" t="s">
        <v>49</v>
      </c>
      <c r="U205" t="s">
        <v>74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79</v>
      </c>
    </row>
    <row r="206" spans="1:28" x14ac:dyDescent="0.35">
      <c r="A206">
        <v>1204</v>
      </c>
      <c r="B206" t="s">
        <v>50</v>
      </c>
      <c r="C206" t="s">
        <v>29</v>
      </c>
      <c r="D206" t="s">
        <v>51</v>
      </c>
      <c r="E206" t="s">
        <v>52</v>
      </c>
      <c r="F206" t="s">
        <v>53</v>
      </c>
      <c r="G206" s="1">
        <v>46112</v>
      </c>
      <c r="H206" t="s">
        <v>71</v>
      </c>
      <c r="I206" t="s">
        <v>80</v>
      </c>
      <c r="J206" t="s">
        <v>81</v>
      </c>
      <c r="K206" t="s">
        <v>73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48</v>
      </c>
      <c r="T206" t="s">
        <v>49</v>
      </c>
      <c r="U206" t="s">
        <v>39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79</v>
      </c>
    </row>
    <row r="207" spans="1:28" x14ac:dyDescent="0.35">
      <c r="A207">
        <v>1205</v>
      </c>
      <c r="B207" t="s">
        <v>41</v>
      </c>
      <c r="C207" t="s">
        <v>29</v>
      </c>
      <c r="D207" t="s">
        <v>42</v>
      </c>
      <c r="E207" t="s">
        <v>43</v>
      </c>
      <c r="F207" t="s">
        <v>44</v>
      </c>
      <c r="G207" s="1">
        <v>46071</v>
      </c>
      <c r="H207" t="s">
        <v>33</v>
      </c>
      <c r="I207" t="s">
        <v>80</v>
      </c>
      <c r="J207" t="s">
        <v>81</v>
      </c>
      <c r="K207" t="s">
        <v>47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37</v>
      </c>
      <c r="T207" t="s">
        <v>76</v>
      </c>
      <c r="U207" t="s">
        <v>74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79</v>
      </c>
    </row>
    <row r="208" spans="1:28" x14ac:dyDescent="0.35">
      <c r="A208">
        <v>1206</v>
      </c>
      <c r="B208" t="s">
        <v>50</v>
      </c>
      <c r="C208" t="s">
        <v>29</v>
      </c>
      <c r="D208" t="s">
        <v>51</v>
      </c>
      <c r="E208" t="s">
        <v>52</v>
      </c>
      <c r="F208" t="s">
        <v>53</v>
      </c>
      <c r="G208" s="1">
        <v>46143</v>
      </c>
      <c r="H208" t="s">
        <v>54</v>
      </c>
      <c r="I208" t="s">
        <v>34</v>
      </c>
      <c r="J208" t="s">
        <v>35</v>
      </c>
      <c r="K208" t="s">
        <v>59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37</v>
      </c>
      <c r="T208" t="s">
        <v>76</v>
      </c>
      <c r="U208" t="s">
        <v>55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56</v>
      </c>
    </row>
    <row r="209" spans="1:28" x14ac:dyDescent="0.35">
      <c r="A209">
        <v>1207</v>
      </c>
      <c r="B209" t="s">
        <v>60</v>
      </c>
      <c r="C209" t="s">
        <v>29</v>
      </c>
      <c r="D209" t="s">
        <v>61</v>
      </c>
      <c r="E209" t="s">
        <v>62</v>
      </c>
      <c r="F209" t="s">
        <v>32</v>
      </c>
      <c r="G209" s="1">
        <v>46128</v>
      </c>
      <c r="H209" t="s">
        <v>75</v>
      </c>
      <c r="I209" t="s">
        <v>80</v>
      </c>
      <c r="J209" t="s">
        <v>82</v>
      </c>
      <c r="K209" t="s">
        <v>73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37</v>
      </c>
      <c r="T209" t="s">
        <v>76</v>
      </c>
      <c r="U209" t="s">
        <v>39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40</v>
      </c>
    </row>
    <row r="210" spans="1:28" x14ac:dyDescent="0.35">
      <c r="A210">
        <v>1208</v>
      </c>
      <c r="B210" t="s">
        <v>50</v>
      </c>
      <c r="C210" t="s">
        <v>29</v>
      </c>
      <c r="D210" t="s">
        <v>51</v>
      </c>
      <c r="E210" t="s">
        <v>52</v>
      </c>
      <c r="F210" t="s">
        <v>53</v>
      </c>
      <c r="G210" s="1">
        <v>46139</v>
      </c>
      <c r="H210" t="s">
        <v>75</v>
      </c>
      <c r="I210" t="s">
        <v>57</v>
      </c>
      <c r="J210" t="s">
        <v>58</v>
      </c>
      <c r="K210" t="s">
        <v>36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48</v>
      </c>
      <c r="T210" t="s">
        <v>76</v>
      </c>
      <c r="U210" t="s">
        <v>39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40</v>
      </c>
    </row>
    <row r="211" spans="1:28" x14ac:dyDescent="0.35">
      <c r="A211">
        <v>1209</v>
      </c>
      <c r="B211" t="s">
        <v>50</v>
      </c>
      <c r="C211" t="s">
        <v>29</v>
      </c>
      <c r="D211" t="s">
        <v>51</v>
      </c>
      <c r="E211" t="s">
        <v>52</v>
      </c>
      <c r="F211" t="s">
        <v>53</v>
      </c>
      <c r="G211" s="1">
        <v>46190</v>
      </c>
      <c r="H211" t="s">
        <v>68</v>
      </c>
      <c r="I211" t="s">
        <v>57</v>
      </c>
      <c r="J211" t="s">
        <v>58</v>
      </c>
      <c r="K211" t="s">
        <v>36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64</v>
      </c>
      <c r="T211" t="s">
        <v>38</v>
      </c>
      <c r="U211" t="s">
        <v>74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63</v>
      </c>
    </row>
    <row r="212" spans="1:28" x14ac:dyDescent="0.35">
      <c r="A212">
        <v>1210</v>
      </c>
      <c r="B212" t="s">
        <v>50</v>
      </c>
      <c r="C212" t="s">
        <v>29</v>
      </c>
      <c r="D212" t="s">
        <v>51</v>
      </c>
      <c r="E212" t="s">
        <v>52</v>
      </c>
      <c r="F212" t="s">
        <v>53</v>
      </c>
      <c r="G212" s="1">
        <v>46033</v>
      </c>
      <c r="H212" t="s">
        <v>45</v>
      </c>
      <c r="I212" t="s">
        <v>57</v>
      </c>
      <c r="J212" t="s">
        <v>58</v>
      </c>
      <c r="K212" t="s">
        <v>59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37</v>
      </c>
      <c r="T212" t="s">
        <v>49</v>
      </c>
      <c r="U212" t="s">
        <v>55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79</v>
      </c>
    </row>
    <row r="213" spans="1:28" x14ac:dyDescent="0.35">
      <c r="A213">
        <v>1211</v>
      </c>
      <c r="B213" t="s">
        <v>60</v>
      </c>
      <c r="C213" t="s">
        <v>29</v>
      </c>
      <c r="D213" t="s">
        <v>61</v>
      </c>
      <c r="E213" t="s">
        <v>62</v>
      </c>
      <c r="F213" t="s">
        <v>32</v>
      </c>
      <c r="G213" s="1">
        <v>46101</v>
      </c>
      <c r="H213" t="s">
        <v>71</v>
      </c>
      <c r="I213" t="s">
        <v>57</v>
      </c>
      <c r="J213" t="s">
        <v>83</v>
      </c>
      <c r="K213" t="s">
        <v>78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48</v>
      </c>
      <c r="T213" t="s">
        <v>76</v>
      </c>
      <c r="U213" t="s">
        <v>74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56</v>
      </c>
    </row>
    <row r="214" spans="1:28" x14ac:dyDescent="0.35">
      <c r="A214">
        <v>1212</v>
      </c>
      <c r="B214" t="s">
        <v>60</v>
      </c>
      <c r="C214" t="s">
        <v>29</v>
      </c>
      <c r="D214" t="s">
        <v>61</v>
      </c>
      <c r="E214" t="s">
        <v>62</v>
      </c>
      <c r="F214" t="s">
        <v>32</v>
      </c>
      <c r="G214" s="1">
        <v>46078</v>
      </c>
      <c r="H214" t="s">
        <v>33</v>
      </c>
      <c r="I214" t="s">
        <v>69</v>
      </c>
      <c r="J214" t="s">
        <v>72</v>
      </c>
      <c r="K214" t="s">
        <v>73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48</v>
      </c>
      <c r="T214" t="s">
        <v>76</v>
      </c>
      <c r="U214" t="s">
        <v>55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56</v>
      </c>
    </row>
    <row r="215" spans="1:28" x14ac:dyDescent="0.35">
      <c r="A215">
        <v>1213</v>
      </c>
      <c r="B215" t="s">
        <v>65</v>
      </c>
      <c r="C215" t="s">
        <v>29</v>
      </c>
      <c r="D215" t="s">
        <v>66</v>
      </c>
      <c r="E215" t="s">
        <v>67</v>
      </c>
      <c r="F215" t="s">
        <v>32</v>
      </c>
      <c r="G215" s="1">
        <v>46077</v>
      </c>
      <c r="H215" t="s">
        <v>33</v>
      </c>
      <c r="I215" t="s">
        <v>69</v>
      </c>
      <c r="J215" t="s">
        <v>70</v>
      </c>
      <c r="K215" t="s">
        <v>59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37</v>
      </c>
      <c r="T215" t="s">
        <v>49</v>
      </c>
      <c r="U215" t="s">
        <v>74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40</v>
      </c>
    </row>
    <row r="216" spans="1:28" x14ac:dyDescent="0.35">
      <c r="A216">
        <v>1214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s="1">
        <v>46081</v>
      </c>
      <c r="H216" t="s">
        <v>33</v>
      </c>
      <c r="I216" t="s">
        <v>57</v>
      </c>
      <c r="J216" t="s">
        <v>58</v>
      </c>
      <c r="K216" t="s">
        <v>78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48</v>
      </c>
      <c r="T216" t="s">
        <v>38</v>
      </c>
      <c r="U216" t="s">
        <v>74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63</v>
      </c>
    </row>
    <row r="217" spans="1:28" x14ac:dyDescent="0.35">
      <c r="A217">
        <v>1215</v>
      </c>
      <c r="B217" t="s">
        <v>65</v>
      </c>
      <c r="C217" t="s">
        <v>29</v>
      </c>
      <c r="D217" t="s">
        <v>66</v>
      </c>
      <c r="E217" t="s">
        <v>67</v>
      </c>
      <c r="F217" t="s">
        <v>32</v>
      </c>
      <c r="G217" s="1">
        <v>46129</v>
      </c>
      <c r="H217" t="s">
        <v>75</v>
      </c>
      <c r="I217" t="s">
        <v>80</v>
      </c>
      <c r="J217" t="s">
        <v>82</v>
      </c>
      <c r="K217" t="s">
        <v>78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37</v>
      </c>
      <c r="T217" t="s">
        <v>49</v>
      </c>
      <c r="U217" t="s">
        <v>39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79</v>
      </c>
    </row>
    <row r="218" spans="1:28" x14ac:dyDescent="0.35">
      <c r="A218">
        <v>1216</v>
      </c>
      <c r="B218" t="s">
        <v>60</v>
      </c>
      <c r="C218" t="s">
        <v>29</v>
      </c>
      <c r="D218" t="s">
        <v>61</v>
      </c>
      <c r="E218" t="s">
        <v>62</v>
      </c>
      <c r="F218" t="s">
        <v>32</v>
      </c>
      <c r="G218" s="1">
        <v>46048</v>
      </c>
      <c r="H218" t="s">
        <v>45</v>
      </c>
      <c r="I218" t="s">
        <v>57</v>
      </c>
      <c r="J218" t="s">
        <v>83</v>
      </c>
      <c r="K218" t="s">
        <v>36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48</v>
      </c>
      <c r="T218" t="s">
        <v>38</v>
      </c>
      <c r="U218" t="s">
        <v>74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56</v>
      </c>
    </row>
    <row r="219" spans="1:28" x14ac:dyDescent="0.35">
      <c r="A219">
        <v>1217</v>
      </c>
      <c r="B219" t="s">
        <v>50</v>
      </c>
      <c r="C219" t="s">
        <v>29</v>
      </c>
      <c r="D219" t="s">
        <v>51</v>
      </c>
      <c r="E219" t="s">
        <v>52</v>
      </c>
      <c r="F219" t="s">
        <v>53</v>
      </c>
      <c r="G219" s="1">
        <v>46039</v>
      </c>
      <c r="H219" t="s">
        <v>45</v>
      </c>
      <c r="I219" t="s">
        <v>69</v>
      </c>
      <c r="J219" t="s">
        <v>72</v>
      </c>
      <c r="K219" t="s">
        <v>59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48</v>
      </c>
      <c r="T219" t="s">
        <v>76</v>
      </c>
      <c r="U219" t="s">
        <v>74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40</v>
      </c>
    </row>
    <row r="220" spans="1:28" x14ac:dyDescent="0.35">
      <c r="A220">
        <v>1218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s="1">
        <v>46090</v>
      </c>
      <c r="H220" t="s">
        <v>71</v>
      </c>
      <c r="I220" t="s">
        <v>34</v>
      </c>
      <c r="J220" t="s">
        <v>77</v>
      </c>
      <c r="K220" t="s">
        <v>36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48</v>
      </c>
      <c r="T220" t="s">
        <v>76</v>
      </c>
      <c r="U220" t="s">
        <v>39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79</v>
      </c>
    </row>
    <row r="221" spans="1:28" x14ac:dyDescent="0.35">
      <c r="A221">
        <v>1219</v>
      </c>
      <c r="B221" t="s">
        <v>60</v>
      </c>
      <c r="C221" t="s">
        <v>29</v>
      </c>
      <c r="D221" t="s">
        <v>61</v>
      </c>
      <c r="E221" t="s">
        <v>62</v>
      </c>
      <c r="F221" t="s">
        <v>32</v>
      </c>
      <c r="G221" s="1">
        <v>46140</v>
      </c>
      <c r="H221" t="s">
        <v>75</v>
      </c>
      <c r="I221" t="s">
        <v>57</v>
      </c>
      <c r="J221" t="s">
        <v>58</v>
      </c>
      <c r="K221" t="s">
        <v>78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37</v>
      </c>
      <c r="T221" t="s">
        <v>49</v>
      </c>
      <c r="U221" t="s">
        <v>39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79</v>
      </c>
    </row>
    <row r="222" spans="1:28" x14ac:dyDescent="0.35">
      <c r="A222">
        <v>1220</v>
      </c>
      <c r="B222" t="s">
        <v>65</v>
      </c>
      <c r="C222" t="s">
        <v>29</v>
      </c>
      <c r="D222" t="s">
        <v>66</v>
      </c>
      <c r="E222" t="s">
        <v>67</v>
      </c>
      <c r="F222" t="s">
        <v>32</v>
      </c>
      <c r="G222" s="1">
        <v>46112</v>
      </c>
      <c r="H222" t="s">
        <v>71</v>
      </c>
      <c r="I222" t="s">
        <v>69</v>
      </c>
      <c r="J222" t="s">
        <v>70</v>
      </c>
      <c r="K222" t="s">
        <v>36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64</v>
      </c>
      <c r="T222" t="s">
        <v>49</v>
      </c>
      <c r="U222" t="s">
        <v>74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56</v>
      </c>
    </row>
    <row r="223" spans="1:28" x14ac:dyDescent="0.35">
      <c r="A223">
        <v>1221</v>
      </c>
      <c r="B223" t="s">
        <v>60</v>
      </c>
      <c r="C223" t="s">
        <v>29</v>
      </c>
      <c r="D223" t="s">
        <v>61</v>
      </c>
      <c r="E223" t="s">
        <v>62</v>
      </c>
      <c r="F223" t="s">
        <v>32</v>
      </c>
      <c r="G223" s="1">
        <v>46173</v>
      </c>
      <c r="H223" t="s">
        <v>54</v>
      </c>
      <c r="I223" t="s">
        <v>34</v>
      </c>
      <c r="J223" t="s">
        <v>77</v>
      </c>
      <c r="K223" t="s">
        <v>78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37</v>
      </c>
      <c r="T223" t="s">
        <v>49</v>
      </c>
      <c r="U223" t="s">
        <v>55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40</v>
      </c>
    </row>
    <row r="224" spans="1:28" x14ac:dyDescent="0.35">
      <c r="A224">
        <v>1222</v>
      </c>
      <c r="B224" t="s">
        <v>41</v>
      </c>
      <c r="C224" t="s">
        <v>29</v>
      </c>
      <c r="D224" t="s">
        <v>42</v>
      </c>
      <c r="E224" t="s">
        <v>43</v>
      </c>
      <c r="F224" t="s">
        <v>44</v>
      </c>
      <c r="G224" s="1">
        <v>46089</v>
      </c>
      <c r="H224" t="s">
        <v>71</v>
      </c>
      <c r="I224" t="s">
        <v>34</v>
      </c>
      <c r="J224" t="s">
        <v>46</v>
      </c>
      <c r="K224" t="s">
        <v>36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64</v>
      </c>
      <c r="T224" t="s">
        <v>38</v>
      </c>
      <c r="U224" t="s">
        <v>74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63</v>
      </c>
    </row>
    <row r="225" spans="1:28" x14ac:dyDescent="0.35">
      <c r="A225">
        <v>1223</v>
      </c>
      <c r="B225" t="s">
        <v>50</v>
      </c>
      <c r="C225" t="s">
        <v>29</v>
      </c>
      <c r="D225" t="s">
        <v>51</v>
      </c>
      <c r="E225" t="s">
        <v>52</v>
      </c>
      <c r="F225" t="s">
        <v>53</v>
      </c>
      <c r="G225" s="1">
        <v>46187</v>
      </c>
      <c r="H225" t="s">
        <v>68</v>
      </c>
      <c r="I225" t="s">
        <v>57</v>
      </c>
      <c r="J225" t="s">
        <v>58</v>
      </c>
      <c r="K225" t="s">
        <v>59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37</v>
      </c>
      <c r="T225" t="s">
        <v>38</v>
      </c>
      <c r="U225" t="s">
        <v>55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40</v>
      </c>
    </row>
    <row r="226" spans="1:28" x14ac:dyDescent="0.35">
      <c r="A226">
        <v>1224</v>
      </c>
      <c r="B226" t="s">
        <v>41</v>
      </c>
      <c r="C226" t="s">
        <v>29</v>
      </c>
      <c r="D226" t="s">
        <v>42</v>
      </c>
      <c r="E226" t="s">
        <v>43</v>
      </c>
      <c r="F226" t="s">
        <v>44</v>
      </c>
      <c r="G226" s="1">
        <v>46062</v>
      </c>
      <c r="H226" t="s">
        <v>33</v>
      </c>
      <c r="I226" t="s">
        <v>80</v>
      </c>
      <c r="J226" t="s">
        <v>81</v>
      </c>
      <c r="K226" t="s">
        <v>59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64</v>
      </c>
      <c r="T226" t="s">
        <v>38</v>
      </c>
      <c r="U226" t="s">
        <v>55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40</v>
      </c>
    </row>
    <row r="227" spans="1:28" x14ac:dyDescent="0.35">
      <c r="A227">
        <v>1225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1">
        <v>46131</v>
      </c>
      <c r="H227" t="s">
        <v>75</v>
      </c>
      <c r="I227" t="s">
        <v>57</v>
      </c>
      <c r="J227" t="s">
        <v>83</v>
      </c>
      <c r="K227" t="s">
        <v>78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64</v>
      </c>
      <c r="T227" t="s">
        <v>49</v>
      </c>
      <c r="U227" t="s">
        <v>55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63</v>
      </c>
    </row>
    <row r="228" spans="1:28" x14ac:dyDescent="0.35">
      <c r="A228">
        <v>1226</v>
      </c>
      <c r="B228" t="s">
        <v>65</v>
      </c>
      <c r="C228" t="s">
        <v>29</v>
      </c>
      <c r="D228" t="s">
        <v>66</v>
      </c>
      <c r="E228" t="s">
        <v>67</v>
      </c>
      <c r="F228" t="s">
        <v>32</v>
      </c>
      <c r="G228" s="1">
        <v>46144</v>
      </c>
      <c r="H228" t="s">
        <v>54</v>
      </c>
      <c r="I228" t="s">
        <v>34</v>
      </c>
      <c r="J228" t="s">
        <v>35</v>
      </c>
      <c r="K228" t="s">
        <v>78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48</v>
      </c>
      <c r="T228" t="s">
        <v>49</v>
      </c>
      <c r="U228" t="s">
        <v>55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63</v>
      </c>
    </row>
    <row r="229" spans="1:28" x14ac:dyDescent="0.35">
      <c r="A229">
        <v>1227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s="1">
        <v>46201</v>
      </c>
      <c r="H229" t="s">
        <v>68</v>
      </c>
      <c r="I229" t="s">
        <v>80</v>
      </c>
      <c r="J229" t="s">
        <v>81</v>
      </c>
      <c r="K229" t="s">
        <v>36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48</v>
      </c>
      <c r="T229" t="s">
        <v>76</v>
      </c>
      <c r="U229" t="s">
        <v>55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79</v>
      </c>
    </row>
    <row r="230" spans="1:28" x14ac:dyDescent="0.35">
      <c r="A230">
        <v>1228</v>
      </c>
      <c r="B230" t="s">
        <v>60</v>
      </c>
      <c r="C230" t="s">
        <v>29</v>
      </c>
      <c r="D230" t="s">
        <v>61</v>
      </c>
      <c r="E230" t="s">
        <v>62</v>
      </c>
      <c r="F230" t="s">
        <v>32</v>
      </c>
      <c r="G230" s="1">
        <v>46083</v>
      </c>
      <c r="H230" t="s">
        <v>71</v>
      </c>
      <c r="I230" t="s">
        <v>80</v>
      </c>
      <c r="J230" t="s">
        <v>82</v>
      </c>
      <c r="K230" t="s">
        <v>47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48</v>
      </c>
      <c r="T230" t="s">
        <v>76</v>
      </c>
      <c r="U230" t="s">
        <v>55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63</v>
      </c>
    </row>
    <row r="231" spans="1:28" x14ac:dyDescent="0.35">
      <c r="A231">
        <v>1229</v>
      </c>
      <c r="B231" t="s">
        <v>50</v>
      </c>
      <c r="C231" t="s">
        <v>29</v>
      </c>
      <c r="D231" t="s">
        <v>51</v>
      </c>
      <c r="E231" t="s">
        <v>52</v>
      </c>
      <c r="F231" t="s">
        <v>53</v>
      </c>
      <c r="G231" s="1">
        <v>46103</v>
      </c>
      <c r="H231" t="s">
        <v>71</v>
      </c>
      <c r="I231" t="s">
        <v>80</v>
      </c>
      <c r="J231" t="s">
        <v>81</v>
      </c>
      <c r="K231" t="s">
        <v>47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64</v>
      </c>
      <c r="T231" t="s">
        <v>49</v>
      </c>
      <c r="U231" t="s">
        <v>55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56</v>
      </c>
    </row>
    <row r="232" spans="1:28" x14ac:dyDescent="0.35">
      <c r="A232">
        <v>1230</v>
      </c>
      <c r="B232" t="s">
        <v>60</v>
      </c>
      <c r="C232" t="s">
        <v>29</v>
      </c>
      <c r="D232" t="s">
        <v>61</v>
      </c>
      <c r="E232" t="s">
        <v>62</v>
      </c>
      <c r="F232" t="s">
        <v>32</v>
      </c>
      <c r="G232" s="1">
        <v>46052</v>
      </c>
      <c r="H232" t="s">
        <v>45</v>
      </c>
      <c r="I232" t="s">
        <v>57</v>
      </c>
      <c r="J232" t="s">
        <v>58</v>
      </c>
      <c r="K232" t="s">
        <v>47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48</v>
      </c>
      <c r="T232" t="s">
        <v>38</v>
      </c>
      <c r="U232" t="s">
        <v>55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63</v>
      </c>
    </row>
    <row r="233" spans="1:28" x14ac:dyDescent="0.35">
      <c r="A233">
        <v>1231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s="1">
        <v>46054</v>
      </c>
      <c r="H233" t="s">
        <v>33</v>
      </c>
      <c r="I233" t="s">
        <v>57</v>
      </c>
      <c r="J233" t="s">
        <v>83</v>
      </c>
      <c r="K233" t="s">
        <v>73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64</v>
      </c>
      <c r="T233" t="s">
        <v>49</v>
      </c>
      <c r="U233" t="s">
        <v>74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56</v>
      </c>
    </row>
    <row r="234" spans="1:28" x14ac:dyDescent="0.35">
      <c r="A234">
        <v>1232</v>
      </c>
      <c r="B234" t="s">
        <v>50</v>
      </c>
      <c r="C234" t="s">
        <v>29</v>
      </c>
      <c r="D234" t="s">
        <v>51</v>
      </c>
      <c r="E234" t="s">
        <v>52</v>
      </c>
      <c r="F234" t="s">
        <v>53</v>
      </c>
      <c r="G234" s="1">
        <v>46077</v>
      </c>
      <c r="H234" t="s">
        <v>33</v>
      </c>
      <c r="I234" t="s">
        <v>34</v>
      </c>
      <c r="J234" t="s">
        <v>35</v>
      </c>
      <c r="K234" t="s">
        <v>59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48</v>
      </c>
      <c r="T234" t="s">
        <v>49</v>
      </c>
      <c r="U234" t="s">
        <v>74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63</v>
      </c>
    </row>
    <row r="235" spans="1:28" x14ac:dyDescent="0.35">
      <c r="A235">
        <v>1233</v>
      </c>
      <c r="B235" t="s">
        <v>65</v>
      </c>
      <c r="C235" t="s">
        <v>29</v>
      </c>
      <c r="D235" t="s">
        <v>66</v>
      </c>
      <c r="E235" t="s">
        <v>67</v>
      </c>
      <c r="F235" t="s">
        <v>32</v>
      </c>
      <c r="G235" s="1">
        <v>46086</v>
      </c>
      <c r="H235" t="s">
        <v>71</v>
      </c>
      <c r="I235" t="s">
        <v>57</v>
      </c>
      <c r="J235" t="s">
        <v>58</v>
      </c>
      <c r="K235" t="s">
        <v>59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64</v>
      </c>
      <c r="T235" t="s">
        <v>38</v>
      </c>
      <c r="U235" t="s">
        <v>39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63</v>
      </c>
    </row>
    <row r="236" spans="1:28" x14ac:dyDescent="0.35">
      <c r="A236">
        <v>1234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s="1">
        <v>46067</v>
      </c>
      <c r="H236" t="s">
        <v>33</v>
      </c>
      <c r="I236" t="s">
        <v>57</v>
      </c>
      <c r="J236" t="s">
        <v>83</v>
      </c>
      <c r="K236" t="s">
        <v>36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64</v>
      </c>
      <c r="T236" t="s">
        <v>38</v>
      </c>
      <c r="U236" t="s">
        <v>39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79</v>
      </c>
    </row>
    <row r="237" spans="1:28" x14ac:dyDescent="0.35">
      <c r="A237">
        <v>1235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s="1">
        <v>46198</v>
      </c>
      <c r="H237" t="s">
        <v>68</v>
      </c>
      <c r="I237" t="s">
        <v>57</v>
      </c>
      <c r="J237" t="s">
        <v>58</v>
      </c>
      <c r="K237" t="s">
        <v>73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48</v>
      </c>
      <c r="T237" t="s">
        <v>49</v>
      </c>
      <c r="U237" t="s">
        <v>74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56</v>
      </c>
    </row>
    <row r="238" spans="1:28" x14ac:dyDescent="0.35">
      <c r="A238">
        <v>1236</v>
      </c>
      <c r="B238" t="s">
        <v>50</v>
      </c>
      <c r="C238" t="s">
        <v>29</v>
      </c>
      <c r="D238" t="s">
        <v>51</v>
      </c>
      <c r="E238" t="s">
        <v>52</v>
      </c>
      <c r="F238" t="s">
        <v>53</v>
      </c>
      <c r="G238" s="1">
        <v>46184</v>
      </c>
      <c r="H238" t="s">
        <v>68</v>
      </c>
      <c r="I238" t="s">
        <v>69</v>
      </c>
      <c r="J238" t="s">
        <v>72</v>
      </c>
      <c r="K238" t="s">
        <v>47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37</v>
      </c>
      <c r="T238" t="s">
        <v>76</v>
      </c>
      <c r="U238" t="s">
        <v>55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40</v>
      </c>
    </row>
    <row r="239" spans="1:28" x14ac:dyDescent="0.35">
      <c r="A239">
        <v>1237</v>
      </c>
      <c r="B239" t="s">
        <v>41</v>
      </c>
      <c r="C239" t="s">
        <v>29</v>
      </c>
      <c r="D239" t="s">
        <v>42</v>
      </c>
      <c r="E239" t="s">
        <v>43</v>
      </c>
      <c r="F239" t="s">
        <v>44</v>
      </c>
      <c r="G239" s="1">
        <v>46091</v>
      </c>
      <c r="H239" t="s">
        <v>71</v>
      </c>
      <c r="I239" t="s">
        <v>57</v>
      </c>
      <c r="J239" t="s">
        <v>83</v>
      </c>
      <c r="K239" t="s">
        <v>47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48</v>
      </c>
      <c r="T239" t="s">
        <v>76</v>
      </c>
      <c r="U239" t="s">
        <v>39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40</v>
      </c>
    </row>
    <row r="240" spans="1:28" x14ac:dyDescent="0.35">
      <c r="A240">
        <v>1238</v>
      </c>
      <c r="B240" t="s">
        <v>50</v>
      </c>
      <c r="C240" t="s">
        <v>29</v>
      </c>
      <c r="D240" t="s">
        <v>51</v>
      </c>
      <c r="E240" t="s">
        <v>52</v>
      </c>
      <c r="F240" t="s">
        <v>53</v>
      </c>
      <c r="G240" s="1">
        <v>46085</v>
      </c>
      <c r="H240" t="s">
        <v>71</v>
      </c>
      <c r="I240" t="s">
        <v>34</v>
      </c>
      <c r="J240" t="s">
        <v>77</v>
      </c>
      <c r="K240" t="s">
        <v>47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48</v>
      </c>
      <c r="T240" t="s">
        <v>76</v>
      </c>
      <c r="U240" t="s">
        <v>55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63</v>
      </c>
    </row>
    <row r="241" spans="1:28" x14ac:dyDescent="0.35">
      <c r="A241">
        <v>1239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s="1">
        <v>46069</v>
      </c>
      <c r="H241" t="s">
        <v>33</v>
      </c>
      <c r="I241" t="s">
        <v>34</v>
      </c>
      <c r="J241" t="s">
        <v>77</v>
      </c>
      <c r="K241" t="s">
        <v>47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48</v>
      </c>
      <c r="T241" t="s">
        <v>49</v>
      </c>
      <c r="U241" t="s">
        <v>74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40</v>
      </c>
    </row>
    <row r="242" spans="1:28" x14ac:dyDescent="0.35">
      <c r="A242">
        <v>1240</v>
      </c>
      <c r="B242" t="s">
        <v>50</v>
      </c>
      <c r="C242" t="s">
        <v>29</v>
      </c>
      <c r="D242" t="s">
        <v>51</v>
      </c>
      <c r="E242" t="s">
        <v>52</v>
      </c>
      <c r="F242" t="s">
        <v>53</v>
      </c>
      <c r="G242" s="1">
        <v>46039</v>
      </c>
      <c r="H242" t="s">
        <v>45</v>
      </c>
      <c r="I242" t="s">
        <v>69</v>
      </c>
      <c r="J242" t="s">
        <v>72</v>
      </c>
      <c r="K242" t="s">
        <v>73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37</v>
      </c>
      <c r="T242" t="s">
        <v>38</v>
      </c>
      <c r="U242" t="s">
        <v>74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56</v>
      </c>
    </row>
    <row r="243" spans="1:28" x14ac:dyDescent="0.35">
      <c r="A243">
        <v>1241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s="1">
        <v>46183</v>
      </c>
      <c r="H243" t="s">
        <v>68</v>
      </c>
      <c r="I243" t="s">
        <v>34</v>
      </c>
      <c r="J243" t="s">
        <v>35</v>
      </c>
      <c r="K243" t="s">
        <v>78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64</v>
      </c>
      <c r="T243" t="s">
        <v>76</v>
      </c>
      <c r="U243" t="s">
        <v>55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56</v>
      </c>
    </row>
    <row r="244" spans="1:28" x14ac:dyDescent="0.35">
      <c r="A244">
        <v>1242</v>
      </c>
      <c r="B244" t="s">
        <v>60</v>
      </c>
      <c r="C244" t="s">
        <v>29</v>
      </c>
      <c r="D244" t="s">
        <v>61</v>
      </c>
      <c r="E244" t="s">
        <v>62</v>
      </c>
      <c r="F244" t="s">
        <v>32</v>
      </c>
      <c r="G244" s="1">
        <v>46059</v>
      </c>
      <c r="H244" t="s">
        <v>33</v>
      </c>
      <c r="I244" t="s">
        <v>69</v>
      </c>
      <c r="J244" t="s">
        <v>70</v>
      </c>
      <c r="K244" t="s">
        <v>47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37</v>
      </c>
      <c r="T244" t="s">
        <v>38</v>
      </c>
      <c r="U244" t="s">
        <v>74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79</v>
      </c>
    </row>
    <row r="245" spans="1:28" x14ac:dyDescent="0.35">
      <c r="A245">
        <v>1243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s="1">
        <v>46185</v>
      </c>
      <c r="H245" t="s">
        <v>68</v>
      </c>
      <c r="I245" t="s">
        <v>69</v>
      </c>
      <c r="J245" t="s">
        <v>72</v>
      </c>
      <c r="K245" t="s">
        <v>47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37</v>
      </c>
      <c r="T245" t="s">
        <v>76</v>
      </c>
      <c r="U245" t="s">
        <v>55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63</v>
      </c>
    </row>
    <row r="246" spans="1:28" x14ac:dyDescent="0.35">
      <c r="A246">
        <v>1244</v>
      </c>
      <c r="B246" t="s">
        <v>60</v>
      </c>
      <c r="C246" t="s">
        <v>29</v>
      </c>
      <c r="D246" t="s">
        <v>61</v>
      </c>
      <c r="E246" t="s">
        <v>62</v>
      </c>
      <c r="F246" t="s">
        <v>32</v>
      </c>
      <c r="G246" s="1">
        <v>46135</v>
      </c>
      <c r="H246" t="s">
        <v>75</v>
      </c>
      <c r="I246" t="s">
        <v>80</v>
      </c>
      <c r="J246" t="s">
        <v>82</v>
      </c>
      <c r="K246" t="s">
        <v>36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48</v>
      </c>
      <c r="T246" t="s">
        <v>38</v>
      </c>
      <c r="U246" t="s">
        <v>39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40</v>
      </c>
    </row>
    <row r="247" spans="1:28" x14ac:dyDescent="0.35">
      <c r="A247">
        <v>1245</v>
      </c>
      <c r="B247" t="s">
        <v>65</v>
      </c>
      <c r="C247" t="s">
        <v>29</v>
      </c>
      <c r="D247" t="s">
        <v>66</v>
      </c>
      <c r="E247" t="s">
        <v>67</v>
      </c>
      <c r="F247" t="s">
        <v>32</v>
      </c>
      <c r="G247" s="1">
        <v>46125</v>
      </c>
      <c r="H247" t="s">
        <v>75</v>
      </c>
      <c r="I247" t="s">
        <v>80</v>
      </c>
      <c r="J247" t="s">
        <v>82</v>
      </c>
      <c r="K247" t="s">
        <v>59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48</v>
      </c>
      <c r="T247" t="s">
        <v>38</v>
      </c>
      <c r="U247" t="s">
        <v>55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56</v>
      </c>
    </row>
    <row r="248" spans="1:28" x14ac:dyDescent="0.35">
      <c r="A248">
        <v>1246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s="1">
        <v>46123</v>
      </c>
      <c r="H248" t="s">
        <v>75</v>
      </c>
      <c r="I248" t="s">
        <v>57</v>
      </c>
      <c r="J248" t="s">
        <v>58</v>
      </c>
      <c r="K248" t="s">
        <v>36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64</v>
      </c>
      <c r="T248" t="s">
        <v>49</v>
      </c>
      <c r="U248" t="s">
        <v>74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56</v>
      </c>
    </row>
    <row r="249" spans="1:28" x14ac:dyDescent="0.35">
      <c r="A249">
        <v>1247</v>
      </c>
      <c r="B249" t="s">
        <v>50</v>
      </c>
      <c r="C249" t="s">
        <v>29</v>
      </c>
      <c r="D249" t="s">
        <v>51</v>
      </c>
      <c r="E249" t="s">
        <v>52</v>
      </c>
      <c r="F249" t="s">
        <v>53</v>
      </c>
      <c r="G249" s="1">
        <v>46139</v>
      </c>
      <c r="H249" t="s">
        <v>75</v>
      </c>
      <c r="I249" t="s">
        <v>69</v>
      </c>
      <c r="J249" t="s">
        <v>70</v>
      </c>
      <c r="K249" t="s">
        <v>59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64</v>
      </c>
      <c r="T249" t="s">
        <v>49</v>
      </c>
      <c r="U249" t="s">
        <v>55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40</v>
      </c>
    </row>
    <row r="250" spans="1:28" x14ac:dyDescent="0.35">
      <c r="A250">
        <v>1248</v>
      </c>
      <c r="B250" t="s">
        <v>50</v>
      </c>
      <c r="C250" t="s">
        <v>29</v>
      </c>
      <c r="D250" t="s">
        <v>51</v>
      </c>
      <c r="E250" t="s">
        <v>52</v>
      </c>
      <c r="F250" t="s">
        <v>53</v>
      </c>
      <c r="G250" s="1">
        <v>46196</v>
      </c>
      <c r="H250" t="s">
        <v>68</v>
      </c>
      <c r="I250" t="s">
        <v>69</v>
      </c>
      <c r="J250" t="s">
        <v>70</v>
      </c>
      <c r="K250" t="s">
        <v>78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48</v>
      </c>
      <c r="T250" t="s">
        <v>38</v>
      </c>
      <c r="U250" t="s">
        <v>74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40</v>
      </c>
    </row>
    <row r="251" spans="1:28" x14ac:dyDescent="0.35">
      <c r="A251">
        <v>1249</v>
      </c>
      <c r="B251" t="s">
        <v>65</v>
      </c>
      <c r="C251" t="s">
        <v>29</v>
      </c>
      <c r="D251" t="s">
        <v>66</v>
      </c>
      <c r="E251" t="s">
        <v>67</v>
      </c>
      <c r="F251" t="s">
        <v>32</v>
      </c>
      <c r="G251" s="1">
        <v>46163</v>
      </c>
      <c r="H251" t="s">
        <v>54</v>
      </c>
      <c r="I251" t="s">
        <v>34</v>
      </c>
      <c r="J251" t="s">
        <v>35</v>
      </c>
      <c r="K251" t="s">
        <v>59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48</v>
      </c>
      <c r="T251" t="s">
        <v>76</v>
      </c>
      <c r="U251" t="s">
        <v>39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79</v>
      </c>
    </row>
    <row r="252" spans="1:28" x14ac:dyDescent="0.35">
      <c r="A252">
        <v>1250</v>
      </c>
      <c r="B252" t="s">
        <v>60</v>
      </c>
      <c r="C252" t="s">
        <v>29</v>
      </c>
      <c r="D252" t="s">
        <v>61</v>
      </c>
      <c r="E252" t="s">
        <v>62</v>
      </c>
      <c r="F252" t="s">
        <v>32</v>
      </c>
      <c r="G252" s="1">
        <v>46105</v>
      </c>
      <c r="H252" t="s">
        <v>71</v>
      </c>
      <c r="I252" t="s">
        <v>69</v>
      </c>
      <c r="J252" t="s">
        <v>72</v>
      </c>
      <c r="K252" t="s">
        <v>78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37</v>
      </c>
      <c r="T252" t="s">
        <v>76</v>
      </c>
      <c r="U252" t="s">
        <v>74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63</v>
      </c>
    </row>
    <row r="253" spans="1:28" x14ac:dyDescent="0.35">
      <c r="A253">
        <v>1251</v>
      </c>
      <c r="B253" t="s">
        <v>50</v>
      </c>
      <c r="C253" t="s">
        <v>29</v>
      </c>
      <c r="D253" t="s">
        <v>51</v>
      </c>
      <c r="E253" t="s">
        <v>52</v>
      </c>
      <c r="F253" t="s">
        <v>53</v>
      </c>
      <c r="G253" s="1">
        <v>46192</v>
      </c>
      <c r="H253" t="s">
        <v>68</v>
      </c>
      <c r="I253" t="s">
        <v>57</v>
      </c>
      <c r="J253" t="s">
        <v>83</v>
      </c>
      <c r="K253" t="s">
        <v>78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48</v>
      </c>
      <c r="T253" t="s">
        <v>38</v>
      </c>
      <c r="U253" t="s">
        <v>39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79</v>
      </c>
    </row>
    <row r="254" spans="1:28" x14ac:dyDescent="0.35">
      <c r="A254">
        <v>1252</v>
      </c>
      <c r="B254" t="s">
        <v>41</v>
      </c>
      <c r="C254" t="s">
        <v>29</v>
      </c>
      <c r="D254" t="s">
        <v>42</v>
      </c>
      <c r="E254" t="s">
        <v>43</v>
      </c>
      <c r="F254" t="s">
        <v>44</v>
      </c>
      <c r="G254" s="1">
        <v>46159</v>
      </c>
      <c r="H254" t="s">
        <v>54</v>
      </c>
      <c r="I254" t="s">
        <v>80</v>
      </c>
      <c r="J254" t="s">
        <v>82</v>
      </c>
      <c r="K254" t="s">
        <v>59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37</v>
      </c>
      <c r="T254" t="s">
        <v>49</v>
      </c>
      <c r="U254" t="s">
        <v>74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56</v>
      </c>
    </row>
    <row r="255" spans="1:28" x14ac:dyDescent="0.35">
      <c r="A255">
        <v>1253</v>
      </c>
      <c r="B255" t="s">
        <v>60</v>
      </c>
      <c r="C255" t="s">
        <v>29</v>
      </c>
      <c r="D255" t="s">
        <v>61</v>
      </c>
      <c r="E255" t="s">
        <v>62</v>
      </c>
      <c r="F255" t="s">
        <v>32</v>
      </c>
      <c r="G255" s="1">
        <v>46066</v>
      </c>
      <c r="H255" t="s">
        <v>33</v>
      </c>
      <c r="I255" t="s">
        <v>69</v>
      </c>
      <c r="J255" t="s">
        <v>70</v>
      </c>
      <c r="K255" t="s">
        <v>59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37</v>
      </c>
      <c r="T255" t="s">
        <v>38</v>
      </c>
      <c r="U255" t="s">
        <v>74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79</v>
      </c>
    </row>
    <row r="256" spans="1:28" x14ac:dyDescent="0.35">
      <c r="A256">
        <v>1254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s="1">
        <v>46082</v>
      </c>
      <c r="H256" t="s">
        <v>71</v>
      </c>
      <c r="I256" t="s">
        <v>57</v>
      </c>
      <c r="J256" t="s">
        <v>58</v>
      </c>
      <c r="K256" t="s">
        <v>47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48</v>
      </c>
      <c r="T256" t="s">
        <v>49</v>
      </c>
      <c r="U256" t="s">
        <v>74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63</v>
      </c>
    </row>
    <row r="257" spans="1:28" x14ac:dyDescent="0.35">
      <c r="A257">
        <v>1255</v>
      </c>
      <c r="B257" t="s">
        <v>60</v>
      </c>
      <c r="C257" t="s">
        <v>29</v>
      </c>
      <c r="D257" t="s">
        <v>61</v>
      </c>
      <c r="E257" t="s">
        <v>62</v>
      </c>
      <c r="F257" t="s">
        <v>32</v>
      </c>
      <c r="G257" s="1">
        <v>46127</v>
      </c>
      <c r="H257" t="s">
        <v>75</v>
      </c>
      <c r="I257" t="s">
        <v>34</v>
      </c>
      <c r="J257" t="s">
        <v>46</v>
      </c>
      <c r="K257" t="s">
        <v>73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37</v>
      </c>
      <c r="T257" t="s">
        <v>49</v>
      </c>
      <c r="U257" t="s">
        <v>55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40</v>
      </c>
    </row>
    <row r="258" spans="1:28" x14ac:dyDescent="0.35">
      <c r="A258">
        <v>1256</v>
      </c>
      <c r="B258" t="s">
        <v>41</v>
      </c>
      <c r="C258" t="s">
        <v>29</v>
      </c>
      <c r="D258" t="s">
        <v>42</v>
      </c>
      <c r="E258" t="s">
        <v>43</v>
      </c>
      <c r="F258" t="s">
        <v>44</v>
      </c>
      <c r="G258" s="1">
        <v>46133</v>
      </c>
      <c r="H258" t="s">
        <v>75</v>
      </c>
      <c r="I258" t="s">
        <v>80</v>
      </c>
      <c r="J258" t="s">
        <v>82</v>
      </c>
      <c r="K258" t="s">
        <v>73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64</v>
      </c>
      <c r="T258" t="s">
        <v>76</v>
      </c>
      <c r="U258" t="s">
        <v>74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40</v>
      </c>
    </row>
    <row r="259" spans="1:28" x14ac:dyDescent="0.35">
      <c r="A259">
        <v>1257</v>
      </c>
      <c r="B259" t="s">
        <v>50</v>
      </c>
      <c r="C259" t="s">
        <v>29</v>
      </c>
      <c r="D259" t="s">
        <v>51</v>
      </c>
      <c r="E259" t="s">
        <v>52</v>
      </c>
      <c r="F259" t="s">
        <v>53</v>
      </c>
      <c r="G259" s="1">
        <v>46048</v>
      </c>
      <c r="H259" t="s">
        <v>45</v>
      </c>
      <c r="I259" t="s">
        <v>57</v>
      </c>
      <c r="J259" t="s">
        <v>83</v>
      </c>
      <c r="K259" t="s">
        <v>59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48</v>
      </c>
      <c r="T259" t="s">
        <v>49</v>
      </c>
      <c r="U259" t="s">
        <v>39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63</v>
      </c>
    </row>
    <row r="260" spans="1:28" x14ac:dyDescent="0.35">
      <c r="A260">
        <v>1258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s="1">
        <v>46047</v>
      </c>
      <c r="H260" t="s">
        <v>45</v>
      </c>
      <c r="I260" t="s">
        <v>34</v>
      </c>
      <c r="J260" t="s">
        <v>35</v>
      </c>
      <c r="K260" t="s">
        <v>36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48</v>
      </c>
      <c r="T260" t="s">
        <v>76</v>
      </c>
      <c r="U260" t="s">
        <v>55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79</v>
      </c>
    </row>
    <row r="261" spans="1:28" x14ac:dyDescent="0.35">
      <c r="A261">
        <v>1259</v>
      </c>
      <c r="B261" t="s">
        <v>50</v>
      </c>
      <c r="C261" t="s">
        <v>29</v>
      </c>
      <c r="D261" t="s">
        <v>51</v>
      </c>
      <c r="E261" t="s">
        <v>52</v>
      </c>
      <c r="F261" t="s">
        <v>53</v>
      </c>
      <c r="G261" s="1">
        <v>46045</v>
      </c>
      <c r="H261" t="s">
        <v>45</v>
      </c>
      <c r="I261" t="s">
        <v>57</v>
      </c>
      <c r="J261" t="s">
        <v>58</v>
      </c>
      <c r="K261" t="s">
        <v>36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37</v>
      </c>
      <c r="T261" t="s">
        <v>76</v>
      </c>
      <c r="U261" t="s">
        <v>55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63</v>
      </c>
    </row>
    <row r="262" spans="1:28" x14ac:dyDescent="0.35">
      <c r="A262">
        <v>1260</v>
      </c>
      <c r="B262" t="s">
        <v>50</v>
      </c>
      <c r="C262" t="s">
        <v>29</v>
      </c>
      <c r="D262" t="s">
        <v>51</v>
      </c>
      <c r="E262" t="s">
        <v>52</v>
      </c>
      <c r="F262" t="s">
        <v>53</v>
      </c>
      <c r="G262" s="1">
        <v>46127</v>
      </c>
      <c r="H262" t="s">
        <v>75</v>
      </c>
      <c r="I262" t="s">
        <v>34</v>
      </c>
      <c r="J262" t="s">
        <v>35</v>
      </c>
      <c r="K262" t="s">
        <v>59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64</v>
      </c>
      <c r="T262" t="s">
        <v>49</v>
      </c>
      <c r="U262" t="s">
        <v>55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56</v>
      </c>
    </row>
    <row r="263" spans="1:28" x14ac:dyDescent="0.35">
      <c r="A263">
        <v>1261</v>
      </c>
      <c r="B263" t="s">
        <v>60</v>
      </c>
      <c r="C263" t="s">
        <v>29</v>
      </c>
      <c r="D263" t="s">
        <v>61</v>
      </c>
      <c r="E263" t="s">
        <v>62</v>
      </c>
      <c r="F263" t="s">
        <v>32</v>
      </c>
      <c r="G263" s="1">
        <v>46146</v>
      </c>
      <c r="H263" t="s">
        <v>54</v>
      </c>
      <c r="I263" t="s">
        <v>69</v>
      </c>
      <c r="J263" t="s">
        <v>70</v>
      </c>
      <c r="K263" t="s">
        <v>73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37</v>
      </c>
      <c r="T263" t="s">
        <v>49</v>
      </c>
      <c r="U263" t="s">
        <v>55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79</v>
      </c>
    </row>
    <row r="264" spans="1:28" x14ac:dyDescent="0.35">
      <c r="A264">
        <v>1262</v>
      </c>
      <c r="B264" t="s">
        <v>41</v>
      </c>
      <c r="C264" t="s">
        <v>29</v>
      </c>
      <c r="D264" t="s">
        <v>42</v>
      </c>
      <c r="E264" t="s">
        <v>43</v>
      </c>
      <c r="F264" t="s">
        <v>44</v>
      </c>
      <c r="G264" s="1">
        <v>46052</v>
      </c>
      <c r="H264" t="s">
        <v>45</v>
      </c>
      <c r="I264" t="s">
        <v>69</v>
      </c>
      <c r="J264" t="s">
        <v>72</v>
      </c>
      <c r="K264" t="s">
        <v>78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64</v>
      </c>
      <c r="T264" t="s">
        <v>76</v>
      </c>
      <c r="U264" t="s">
        <v>55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79</v>
      </c>
    </row>
    <row r="265" spans="1:28" x14ac:dyDescent="0.35">
      <c r="A265">
        <v>1263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s="1">
        <v>46124</v>
      </c>
      <c r="H265" t="s">
        <v>75</v>
      </c>
      <c r="I265" t="s">
        <v>57</v>
      </c>
      <c r="J265" t="s">
        <v>58</v>
      </c>
      <c r="K265" t="s">
        <v>73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48</v>
      </c>
      <c r="T265" t="s">
        <v>38</v>
      </c>
      <c r="U265" t="s">
        <v>74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56</v>
      </c>
    </row>
    <row r="266" spans="1:28" x14ac:dyDescent="0.35">
      <c r="A266">
        <v>1264</v>
      </c>
      <c r="B266" t="s">
        <v>41</v>
      </c>
      <c r="C266" t="s">
        <v>29</v>
      </c>
      <c r="D266" t="s">
        <v>42</v>
      </c>
      <c r="E266" t="s">
        <v>43</v>
      </c>
      <c r="F266" t="s">
        <v>44</v>
      </c>
      <c r="G266" s="1">
        <v>46104</v>
      </c>
      <c r="H266" t="s">
        <v>71</v>
      </c>
      <c r="I266" t="s">
        <v>80</v>
      </c>
      <c r="J266" t="s">
        <v>81</v>
      </c>
      <c r="K266" t="s">
        <v>78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48</v>
      </c>
      <c r="T266" t="s">
        <v>76</v>
      </c>
      <c r="U266" t="s">
        <v>39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56</v>
      </c>
    </row>
    <row r="267" spans="1:28" x14ac:dyDescent="0.35">
      <c r="A267">
        <v>1265</v>
      </c>
      <c r="B267" t="s">
        <v>50</v>
      </c>
      <c r="C267" t="s">
        <v>29</v>
      </c>
      <c r="D267" t="s">
        <v>51</v>
      </c>
      <c r="E267" t="s">
        <v>52</v>
      </c>
      <c r="F267" t="s">
        <v>53</v>
      </c>
      <c r="G267" s="1">
        <v>46102</v>
      </c>
      <c r="H267" t="s">
        <v>71</v>
      </c>
      <c r="I267" t="s">
        <v>34</v>
      </c>
      <c r="J267" t="s">
        <v>46</v>
      </c>
      <c r="K267" t="s">
        <v>36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48</v>
      </c>
      <c r="T267" t="s">
        <v>76</v>
      </c>
      <c r="U267" t="s">
        <v>74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56</v>
      </c>
    </row>
    <row r="268" spans="1:28" x14ac:dyDescent="0.35">
      <c r="A268">
        <v>1266</v>
      </c>
      <c r="B268" t="s">
        <v>50</v>
      </c>
      <c r="C268" t="s">
        <v>29</v>
      </c>
      <c r="D268" t="s">
        <v>51</v>
      </c>
      <c r="E268" t="s">
        <v>52</v>
      </c>
      <c r="F268" t="s">
        <v>53</v>
      </c>
      <c r="G268" s="1">
        <v>46100</v>
      </c>
      <c r="H268" t="s">
        <v>71</v>
      </c>
      <c r="I268" t="s">
        <v>57</v>
      </c>
      <c r="J268" t="s">
        <v>58</v>
      </c>
      <c r="K268" t="s">
        <v>73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64</v>
      </c>
      <c r="T268" t="s">
        <v>38</v>
      </c>
      <c r="U268" t="s">
        <v>39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79</v>
      </c>
    </row>
    <row r="269" spans="1:28" x14ac:dyDescent="0.35">
      <c r="A269">
        <v>1267</v>
      </c>
      <c r="B269" t="s">
        <v>50</v>
      </c>
      <c r="C269" t="s">
        <v>29</v>
      </c>
      <c r="D269" t="s">
        <v>51</v>
      </c>
      <c r="E269" t="s">
        <v>52</v>
      </c>
      <c r="F269" t="s">
        <v>53</v>
      </c>
      <c r="G269" s="1">
        <v>46100</v>
      </c>
      <c r="H269" t="s">
        <v>71</v>
      </c>
      <c r="I269" t="s">
        <v>34</v>
      </c>
      <c r="J269" t="s">
        <v>46</v>
      </c>
      <c r="K269" t="s">
        <v>47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37</v>
      </c>
      <c r="T269" t="s">
        <v>76</v>
      </c>
      <c r="U269" t="s">
        <v>74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40</v>
      </c>
    </row>
    <row r="270" spans="1:28" x14ac:dyDescent="0.35">
      <c r="A270">
        <v>1268</v>
      </c>
      <c r="B270" t="s">
        <v>50</v>
      </c>
      <c r="C270" t="s">
        <v>29</v>
      </c>
      <c r="D270" t="s">
        <v>51</v>
      </c>
      <c r="E270" t="s">
        <v>52</v>
      </c>
      <c r="F270" t="s">
        <v>53</v>
      </c>
      <c r="G270" s="1">
        <v>46169</v>
      </c>
      <c r="H270" t="s">
        <v>54</v>
      </c>
      <c r="I270" t="s">
        <v>34</v>
      </c>
      <c r="J270" t="s">
        <v>77</v>
      </c>
      <c r="K270" t="s">
        <v>78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48</v>
      </c>
      <c r="T270" t="s">
        <v>76</v>
      </c>
      <c r="U270" t="s">
        <v>55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40</v>
      </c>
    </row>
    <row r="271" spans="1:28" x14ac:dyDescent="0.35">
      <c r="A271">
        <v>1269</v>
      </c>
      <c r="B271" t="s">
        <v>50</v>
      </c>
      <c r="C271" t="s">
        <v>29</v>
      </c>
      <c r="D271" t="s">
        <v>51</v>
      </c>
      <c r="E271" t="s">
        <v>52</v>
      </c>
      <c r="F271" t="s">
        <v>53</v>
      </c>
      <c r="G271" s="1">
        <v>46088</v>
      </c>
      <c r="H271" t="s">
        <v>71</v>
      </c>
      <c r="I271" t="s">
        <v>34</v>
      </c>
      <c r="J271" t="s">
        <v>77</v>
      </c>
      <c r="K271" t="s">
        <v>36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64</v>
      </c>
      <c r="T271" t="s">
        <v>38</v>
      </c>
      <c r="U271" t="s">
        <v>39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63</v>
      </c>
    </row>
    <row r="272" spans="1:28" x14ac:dyDescent="0.35">
      <c r="A272">
        <v>1270</v>
      </c>
      <c r="B272" t="s">
        <v>60</v>
      </c>
      <c r="C272" t="s">
        <v>29</v>
      </c>
      <c r="D272" t="s">
        <v>61</v>
      </c>
      <c r="E272" t="s">
        <v>62</v>
      </c>
      <c r="F272" t="s">
        <v>32</v>
      </c>
      <c r="G272" s="1">
        <v>46098</v>
      </c>
      <c r="H272" t="s">
        <v>71</v>
      </c>
      <c r="I272" t="s">
        <v>57</v>
      </c>
      <c r="J272" t="s">
        <v>83</v>
      </c>
      <c r="K272" t="s">
        <v>73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37</v>
      </c>
      <c r="T272" t="s">
        <v>38</v>
      </c>
      <c r="U272" t="s">
        <v>74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63</v>
      </c>
    </row>
    <row r="273" spans="1:28" x14ac:dyDescent="0.35">
      <c r="A273">
        <v>1271</v>
      </c>
      <c r="B273" t="s">
        <v>50</v>
      </c>
      <c r="C273" t="s">
        <v>29</v>
      </c>
      <c r="D273" t="s">
        <v>51</v>
      </c>
      <c r="E273" t="s">
        <v>52</v>
      </c>
      <c r="F273" t="s">
        <v>53</v>
      </c>
      <c r="G273" s="1">
        <v>46037</v>
      </c>
      <c r="H273" t="s">
        <v>45</v>
      </c>
      <c r="I273" t="s">
        <v>80</v>
      </c>
      <c r="J273" t="s">
        <v>82</v>
      </c>
      <c r="K273" t="s">
        <v>47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37</v>
      </c>
      <c r="T273" t="s">
        <v>49</v>
      </c>
      <c r="U273" t="s">
        <v>39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63</v>
      </c>
    </row>
    <row r="274" spans="1:28" x14ac:dyDescent="0.35">
      <c r="A274">
        <v>1272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s="1">
        <v>46114</v>
      </c>
      <c r="H274" t="s">
        <v>75</v>
      </c>
      <c r="I274" t="s">
        <v>57</v>
      </c>
      <c r="J274" t="s">
        <v>58</v>
      </c>
      <c r="K274" t="s">
        <v>78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37</v>
      </c>
      <c r="T274" t="s">
        <v>49</v>
      </c>
      <c r="U274" t="s">
        <v>39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56</v>
      </c>
    </row>
    <row r="275" spans="1:28" x14ac:dyDescent="0.35">
      <c r="A275">
        <v>1273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s="1">
        <v>46195</v>
      </c>
      <c r="H275" t="s">
        <v>68</v>
      </c>
      <c r="I275" t="s">
        <v>80</v>
      </c>
      <c r="J275" t="s">
        <v>82</v>
      </c>
      <c r="K275" t="s">
        <v>78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48</v>
      </c>
      <c r="T275" t="s">
        <v>38</v>
      </c>
      <c r="U275" t="s">
        <v>74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79</v>
      </c>
    </row>
    <row r="276" spans="1:28" x14ac:dyDescent="0.35">
      <c r="A276">
        <v>1274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s="1">
        <v>46149</v>
      </c>
      <c r="H276" t="s">
        <v>54</v>
      </c>
      <c r="I276" t="s">
        <v>80</v>
      </c>
      <c r="J276" t="s">
        <v>81</v>
      </c>
      <c r="K276" t="s">
        <v>73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48</v>
      </c>
      <c r="T276" t="s">
        <v>49</v>
      </c>
      <c r="U276" t="s">
        <v>39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63</v>
      </c>
    </row>
    <row r="277" spans="1:28" x14ac:dyDescent="0.35">
      <c r="A277">
        <v>1275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s="1">
        <v>46103</v>
      </c>
      <c r="H277" t="s">
        <v>71</v>
      </c>
      <c r="I277" t="s">
        <v>34</v>
      </c>
      <c r="J277" t="s">
        <v>46</v>
      </c>
      <c r="K277" t="s">
        <v>47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48</v>
      </c>
      <c r="T277" t="s">
        <v>76</v>
      </c>
      <c r="U277" t="s">
        <v>55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40</v>
      </c>
    </row>
    <row r="278" spans="1:28" x14ac:dyDescent="0.35">
      <c r="A278">
        <v>1276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s="1">
        <v>46111</v>
      </c>
      <c r="H278" t="s">
        <v>71</v>
      </c>
      <c r="I278" t="s">
        <v>57</v>
      </c>
      <c r="J278" t="s">
        <v>58</v>
      </c>
      <c r="K278" t="s">
        <v>47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48</v>
      </c>
      <c r="T278" t="s">
        <v>76</v>
      </c>
      <c r="U278" t="s">
        <v>74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79</v>
      </c>
    </row>
    <row r="279" spans="1:28" x14ac:dyDescent="0.35">
      <c r="A279">
        <v>1277</v>
      </c>
      <c r="B279" t="s">
        <v>60</v>
      </c>
      <c r="C279" t="s">
        <v>29</v>
      </c>
      <c r="D279" t="s">
        <v>61</v>
      </c>
      <c r="E279" t="s">
        <v>62</v>
      </c>
      <c r="F279" t="s">
        <v>32</v>
      </c>
      <c r="G279" s="1">
        <v>46179</v>
      </c>
      <c r="H279" t="s">
        <v>68</v>
      </c>
      <c r="I279" t="s">
        <v>34</v>
      </c>
      <c r="J279" t="s">
        <v>35</v>
      </c>
      <c r="K279" t="s">
        <v>59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37</v>
      </c>
      <c r="T279" t="s">
        <v>49</v>
      </c>
      <c r="U279" t="s">
        <v>39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40</v>
      </c>
    </row>
    <row r="280" spans="1:28" x14ac:dyDescent="0.35">
      <c r="A280">
        <v>1278</v>
      </c>
      <c r="B280" t="s">
        <v>41</v>
      </c>
      <c r="C280" t="s">
        <v>29</v>
      </c>
      <c r="D280" t="s">
        <v>42</v>
      </c>
      <c r="E280" t="s">
        <v>43</v>
      </c>
      <c r="F280" t="s">
        <v>44</v>
      </c>
      <c r="G280" s="1">
        <v>46091</v>
      </c>
      <c r="H280" t="s">
        <v>71</v>
      </c>
      <c r="I280" t="s">
        <v>57</v>
      </c>
      <c r="J280" t="s">
        <v>58</v>
      </c>
      <c r="K280" t="s">
        <v>47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48</v>
      </c>
      <c r="T280" t="s">
        <v>38</v>
      </c>
      <c r="U280" t="s">
        <v>55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40</v>
      </c>
    </row>
    <row r="281" spans="1:28" x14ac:dyDescent="0.35">
      <c r="A281">
        <v>1279</v>
      </c>
      <c r="B281" t="s">
        <v>65</v>
      </c>
      <c r="C281" t="s">
        <v>29</v>
      </c>
      <c r="D281" t="s">
        <v>66</v>
      </c>
      <c r="E281" t="s">
        <v>67</v>
      </c>
      <c r="F281" t="s">
        <v>32</v>
      </c>
      <c r="G281" s="1">
        <v>46199</v>
      </c>
      <c r="H281" t="s">
        <v>68</v>
      </c>
      <c r="I281" t="s">
        <v>80</v>
      </c>
      <c r="J281" t="s">
        <v>82</v>
      </c>
      <c r="K281" t="s">
        <v>36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37</v>
      </c>
      <c r="T281" t="s">
        <v>49</v>
      </c>
      <c r="U281" t="s">
        <v>39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56</v>
      </c>
    </row>
    <row r="282" spans="1:28" x14ac:dyDescent="0.35">
      <c r="A282">
        <v>1280</v>
      </c>
      <c r="B282" t="s">
        <v>60</v>
      </c>
      <c r="C282" t="s">
        <v>29</v>
      </c>
      <c r="D282" t="s">
        <v>61</v>
      </c>
      <c r="E282" t="s">
        <v>62</v>
      </c>
      <c r="F282" t="s">
        <v>32</v>
      </c>
      <c r="G282" s="1">
        <v>46152</v>
      </c>
      <c r="H282" t="s">
        <v>54</v>
      </c>
      <c r="I282" t="s">
        <v>57</v>
      </c>
      <c r="J282" t="s">
        <v>83</v>
      </c>
      <c r="K282" t="s">
        <v>78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48</v>
      </c>
      <c r="T282" t="s">
        <v>49</v>
      </c>
      <c r="U282" t="s">
        <v>39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63</v>
      </c>
    </row>
    <row r="283" spans="1:28" x14ac:dyDescent="0.35">
      <c r="A283">
        <v>1281</v>
      </c>
      <c r="B283" t="s">
        <v>41</v>
      </c>
      <c r="C283" t="s">
        <v>29</v>
      </c>
      <c r="D283" t="s">
        <v>42</v>
      </c>
      <c r="E283" t="s">
        <v>43</v>
      </c>
      <c r="F283" t="s">
        <v>44</v>
      </c>
      <c r="G283" s="1">
        <v>46116</v>
      </c>
      <c r="H283" t="s">
        <v>75</v>
      </c>
      <c r="I283" t="s">
        <v>69</v>
      </c>
      <c r="J283" t="s">
        <v>72</v>
      </c>
      <c r="K283" t="s">
        <v>36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37</v>
      </c>
      <c r="T283" t="s">
        <v>49</v>
      </c>
      <c r="U283" t="s">
        <v>55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63</v>
      </c>
    </row>
    <row r="284" spans="1:28" x14ac:dyDescent="0.35">
      <c r="A284">
        <v>1282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s="1">
        <v>46198</v>
      </c>
      <c r="H284" t="s">
        <v>68</v>
      </c>
      <c r="I284" t="s">
        <v>80</v>
      </c>
      <c r="J284" t="s">
        <v>81</v>
      </c>
      <c r="K284" t="s">
        <v>47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48</v>
      </c>
      <c r="T284" t="s">
        <v>38</v>
      </c>
      <c r="U284" t="s">
        <v>55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40</v>
      </c>
    </row>
    <row r="285" spans="1:28" x14ac:dyDescent="0.35">
      <c r="A285">
        <v>1283</v>
      </c>
      <c r="B285" t="s">
        <v>41</v>
      </c>
      <c r="C285" t="s">
        <v>29</v>
      </c>
      <c r="D285" t="s">
        <v>42</v>
      </c>
      <c r="E285" t="s">
        <v>43</v>
      </c>
      <c r="F285" t="s">
        <v>44</v>
      </c>
      <c r="G285" s="1">
        <v>46075</v>
      </c>
      <c r="H285" t="s">
        <v>33</v>
      </c>
      <c r="I285" t="s">
        <v>69</v>
      </c>
      <c r="J285" t="s">
        <v>72</v>
      </c>
      <c r="K285" t="s">
        <v>59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37</v>
      </c>
      <c r="T285" t="s">
        <v>38</v>
      </c>
      <c r="U285" t="s">
        <v>39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40</v>
      </c>
    </row>
    <row r="286" spans="1:28" x14ac:dyDescent="0.35">
      <c r="A286">
        <v>1284</v>
      </c>
      <c r="B286" t="s">
        <v>65</v>
      </c>
      <c r="C286" t="s">
        <v>29</v>
      </c>
      <c r="D286" t="s">
        <v>66</v>
      </c>
      <c r="E286" t="s">
        <v>67</v>
      </c>
      <c r="F286" t="s">
        <v>32</v>
      </c>
      <c r="G286" s="1">
        <v>46073</v>
      </c>
      <c r="H286" t="s">
        <v>33</v>
      </c>
      <c r="I286" t="s">
        <v>57</v>
      </c>
      <c r="J286" t="s">
        <v>83</v>
      </c>
      <c r="K286" t="s">
        <v>36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37</v>
      </c>
      <c r="T286" t="s">
        <v>49</v>
      </c>
      <c r="U286" t="s">
        <v>55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56</v>
      </c>
    </row>
    <row r="287" spans="1:28" x14ac:dyDescent="0.35">
      <c r="A287">
        <v>1285</v>
      </c>
      <c r="B287" t="s">
        <v>60</v>
      </c>
      <c r="C287" t="s">
        <v>29</v>
      </c>
      <c r="D287" t="s">
        <v>61</v>
      </c>
      <c r="E287" t="s">
        <v>62</v>
      </c>
      <c r="F287" t="s">
        <v>32</v>
      </c>
      <c r="G287" s="1">
        <v>46181</v>
      </c>
      <c r="H287" t="s">
        <v>68</v>
      </c>
      <c r="I287" t="s">
        <v>80</v>
      </c>
      <c r="J287" t="s">
        <v>81</v>
      </c>
      <c r="K287" t="s">
        <v>59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37</v>
      </c>
      <c r="T287" t="s">
        <v>76</v>
      </c>
      <c r="U287" t="s">
        <v>55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79</v>
      </c>
    </row>
    <row r="288" spans="1:28" x14ac:dyDescent="0.35">
      <c r="A288">
        <v>1286</v>
      </c>
      <c r="B288" t="s">
        <v>65</v>
      </c>
      <c r="C288" t="s">
        <v>29</v>
      </c>
      <c r="D288" t="s">
        <v>66</v>
      </c>
      <c r="E288" t="s">
        <v>67</v>
      </c>
      <c r="F288" t="s">
        <v>32</v>
      </c>
      <c r="G288" s="1">
        <v>46062</v>
      </c>
      <c r="H288" t="s">
        <v>33</v>
      </c>
      <c r="I288" t="s">
        <v>69</v>
      </c>
      <c r="J288" t="s">
        <v>70</v>
      </c>
      <c r="K288" t="s">
        <v>47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64</v>
      </c>
      <c r="T288" t="s">
        <v>38</v>
      </c>
      <c r="U288" t="s">
        <v>74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56</v>
      </c>
    </row>
    <row r="289" spans="1:28" x14ac:dyDescent="0.35">
      <c r="A289">
        <v>1287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s="1">
        <v>46179</v>
      </c>
      <c r="H289" t="s">
        <v>68</v>
      </c>
      <c r="I289" t="s">
        <v>80</v>
      </c>
      <c r="J289" t="s">
        <v>81</v>
      </c>
      <c r="K289" t="s">
        <v>47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37</v>
      </c>
      <c r="T289" t="s">
        <v>38</v>
      </c>
      <c r="U289" t="s">
        <v>74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63</v>
      </c>
    </row>
    <row r="290" spans="1:28" x14ac:dyDescent="0.35">
      <c r="A290">
        <v>1288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s="1">
        <v>46193</v>
      </c>
      <c r="H290" t="s">
        <v>68</v>
      </c>
      <c r="I290" t="s">
        <v>69</v>
      </c>
      <c r="J290" t="s">
        <v>70</v>
      </c>
      <c r="K290" t="s">
        <v>47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37</v>
      </c>
      <c r="T290" t="s">
        <v>38</v>
      </c>
      <c r="U290" t="s">
        <v>39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56</v>
      </c>
    </row>
    <row r="291" spans="1:28" x14ac:dyDescent="0.35">
      <c r="A291">
        <v>1289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s="1">
        <v>46041</v>
      </c>
      <c r="H291" t="s">
        <v>45</v>
      </c>
      <c r="I291" t="s">
        <v>69</v>
      </c>
      <c r="J291" t="s">
        <v>70</v>
      </c>
      <c r="K291" t="s">
        <v>47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64</v>
      </c>
      <c r="T291" t="s">
        <v>49</v>
      </c>
      <c r="U291" t="s">
        <v>39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56</v>
      </c>
    </row>
    <row r="292" spans="1:28" x14ac:dyDescent="0.35">
      <c r="A292">
        <v>1290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s="1">
        <v>46145</v>
      </c>
      <c r="H292" t="s">
        <v>54</v>
      </c>
      <c r="I292" t="s">
        <v>80</v>
      </c>
      <c r="J292" t="s">
        <v>81</v>
      </c>
      <c r="K292" t="s">
        <v>59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37</v>
      </c>
      <c r="T292" t="s">
        <v>38</v>
      </c>
      <c r="U292" t="s">
        <v>39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40</v>
      </c>
    </row>
    <row r="293" spans="1:28" x14ac:dyDescent="0.35">
      <c r="A293">
        <v>1291</v>
      </c>
      <c r="B293" t="s">
        <v>65</v>
      </c>
      <c r="C293" t="s">
        <v>29</v>
      </c>
      <c r="D293" t="s">
        <v>66</v>
      </c>
      <c r="E293" t="s">
        <v>67</v>
      </c>
      <c r="F293" t="s">
        <v>32</v>
      </c>
      <c r="G293" s="1">
        <v>46081</v>
      </c>
      <c r="H293" t="s">
        <v>33</v>
      </c>
      <c r="I293" t="s">
        <v>69</v>
      </c>
      <c r="J293" t="s">
        <v>70</v>
      </c>
      <c r="K293" t="s">
        <v>47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64</v>
      </c>
      <c r="T293" t="s">
        <v>49</v>
      </c>
      <c r="U293" t="s">
        <v>55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79</v>
      </c>
    </row>
    <row r="294" spans="1:28" x14ac:dyDescent="0.35">
      <c r="A294">
        <v>1292</v>
      </c>
      <c r="B294" t="s">
        <v>41</v>
      </c>
      <c r="C294" t="s">
        <v>29</v>
      </c>
      <c r="D294" t="s">
        <v>42</v>
      </c>
      <c r="E294" t="s">
        <v>43</v>
      </c>
      <c r="F294" t="s">
        <v>44</v>
      </c>
      <c r="G294" s="1">
        <v>46197</v>
      </c>
      <c r="H294" t="s">
        <v>68</v>
      </c>
      <c r="I294" t="s">
        <v>34</v>
      </c>
      <c r="J294" t="s">
        <v>46</v>
      </c>
      <c r="K294" t="s">
        <v>73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48</v>
      </c>
      <c r="T294" t="s">
        <v>38</v>
      </c>
      <c r="U294" t="s">
        <v>74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40</v>
      </c>
    </row>
    <row r="295" spans="1:28" x14ac:dyDescent="0.35">
      <c r="A295">
        <v>1293</v>
      </c>
      <c r="B295" t="s">
        <v>60</v>
      </c>
      <c r="C295" t="s">
        <v>29</v>
      </c>
      <c r="D295" t="s">
        <v>61</v>
      </c>
      <c r="E295" t="s">
        <v>62</v>
      </c>
      <c r="F295" t="s">
        <v>32</v>
      </c>
      <c r="G295" s="1">
        <v>46129</v>
      </c>
      <c r="H295" t="s">
        <v>75</v>
      </c>
      <c r="I295" t="s">
        <v>57</v>
      </c>
      <c r="J295" t="s">
        <v>58</v>
      </c>
      <c r="K295" t="s">
        <v>36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64</v>
      </c>
      <c r="T295" t="s">
        <v>76</v>
      </c>
      <c r="U295" t="s">
        <v>74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63</v>
      </c>
    </row>
    <row r="296" spans="1:28" x14ac:dyDescent="0.35">
      <c r="A296">
        <v>1294</v>
      </c>
      <c r="B296" t="s">
        <v>65</v>
      </c>
      <c r="C296" t="s">
        <v>29</v>
      </c>
      <c r="D296" t="s">
        <v>66</v>
      </c>
      <c r="E296" t="s">
        <v>67</v>
      </c>
      <c r="F296" t="s">
        <v>32</v>
      </c>
      <c r="G296" s="1">
        <v>46115</v>
      </c>
      <c r="H296" t="s">
        <v>75</v>
      </c>
      <c r="I296" t="s">
        <v>69</v>
      </c>
      <c r="J296" t="s">
        <v>70</v>
      </c>
      <c r="K296" t="s">
        <v>78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64</v>
      </c>
      <c r="T296" t="s">
        <v>38</v>
      </c>
      <c r="U296" t="s">
        <v>74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79</v>
      </c>
    </row>
    <row r="297" spans="1:28" x14ac:dyDescent="0.35">
      <c r="A297">
        <v>1295</v>
      </c>
      <c r="B297" t="s">
        <v>60</v>
      </c>
      <c r="C297" t="s">
        <v>29</v>
      </c>
      <c r="D297" t="s">
        <v>61</v>
      </c>
      <c r="E297" t="s">
        <v>62</v>
      </c>
      <c r="F297" t="s">
        <v>32</v>
      </c>
      <c r="G297" s="1">
        <v>46095</v>
      </c>
      <c r="H297" t="s">
        <v>71</v>
      </c>
      <c r="I297" t="s">
        <v>69</v>
      </c>
      <c r="J297" t="s">
        <v>70</v>
      </c>
      <c r="K297" t="s">
        <v>78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48</v>
      </c>
      <c r="T297" t="s">
        <v>38</v>
      </c>
      <c r="U297" t="s">
        <v>74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56</v>
      </c>
    </row>
    <row r="298" spans="1:28" x14ac:dyDescent="0.35">
      <c r="A298">
        <v>1296</v>
      </c>
      <c r="B298" t="s">
        <v>65</v>
      </c>
      <c r="C298" t="s">
        <v>29</v>
      </c>
      <c r="D298" t="s">
        <v>66</v>
      </c>
      <c r="E298" t="s">
        <v>67</v>
      </c>
      <c r="F298" t="s">
        <v>32</v>
      </c>
      <c r="G298" s="1">
        <v>46172</v>
      </c>
      <c r="H298" t="s">
        <v>54</v>
      </c>
      <c r="I298" t="s">
        <v>34</v>
      </c>
      <c r="J298" t="s">
        <v>77</v>
      </c>
      <c r="K298" t="s">
        <v>73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48</v>
      </c>
      <c r="T298" t="s">
        <v>38</v>
      </c>
      <c r="U298" t="s">
        <v>74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56</v>
      </c>
    </row>
    <row r="299" spans="1:28" x14ac:dyDescent="0.35">
      <c r="A299">
        <v>1297</v>
      </c>
      <c r="B299" t="s">
        <v>50</v>
      </c>
      <c r="C299" t="s">
        <v>29</v>
      </c>
      <c r="D299" t="s">
        <v>51</v>
      </c>
      <c r="E299" t="s">
        <v>52</v>
      </c>
      <c r="F299" t="s">
        <v>53</v>
      </c>
      <c r="G299" s="1">
        <v>46147</v>
      </c>
      <c r="H299" t="s">
        <v>54</v>
      </c>
      <c r="I299" t="s">
        <v>57</v>
      </c>
      <c r="J299" t="s">
        <v>83</v>
      </c>
      <c r="K299" t="s">
        <v>73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64</v>
      </c>
      <c r="T299" t="s">
        <v>38</v>
      </c>
      <c r="U299" t="s">
        <v>55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63</v>
      </c>
    </row>
    <row r="300" spans="1:28" x14ac:dyDescent="0.35">
      <c r="A300">
        <v>1298</v>
      </c>
      <c r="B300" t="s">
        <v>41</v>
      </c>
      <c r="C300" t="s">
        <v>29</v>
      </c>
      <c r="D300" t="s">
        <v>42</v>
      </c>
      <c r="E300" t="s">
        <v>43</v>
      </c>
      <c r="F300" t="s">
        <v>44</v>
      </c>
      <c r="G300" s="1">
        <v>46051</v>
      </c>
      <c r="H300" t="s">
        <v>45</v>
      </c>
      <c r="I300" t="s">
        <v>34</v>
      </c>
      <c r="J300" t="s">
        <v>46</v>
      </c>
      <c r="K300" t="s">
        <v>78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37</v>
      </c>
      <c r="T300" t="s">
        <v>49</v>
      </c>
      <c r="U300" t="s">
        <v>55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56</v>
      </c>
    </row>
    <row r="301" spans="1:28" x14ac:dyDescent="0.35">
      <c r="A301">
        <v>1299</v>
      </c>
      <c r="B301" t="s">
        <v>50</v>
      </c>
      <c r="C301" t="s">
        <v>29</v>
      </c>
      <c r="D301" t="s">
        <v>51</v>
      </c>
      <c r="E301" t="s">
        <v>52</v>
      </c>
      <c r="F301" t="s">
        <v>53</v>
      </c>
      <c r="G301" s="1">
        <v>46201</v>
      </c>
      <c r="H301" t="s">
        <v>68</v>
      </c>
      <c r="I301" t="s">
        <v>57</v>
      </c>
      <c r="J301" t="s">
        <v>83</v>
      </c>
      <c r="K301" t="s">
        <v>36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64</v>
      </c>
      <c r="T301" t="s">
        <v>76</v>
      </c>
      <c r="U301" t="s">
        <v>39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63</v>
      </c>
    </row>
    <row r="302" spans="1:28" x14ac:dyDescent="0.35">
      <c r="A302">
        <v>1300</v>
      </c>
      <c r="B302" t="s">
        <v>41</v>
      </c>
      <c r="C302" t="s">
        <v>29</v>
      </c>
      <c r="D302" t="s">
        <v>42</v>
      </c>
      <c r="E302" t="s">
        <v>43</v>
      </c>
      <c r="F302" t="s">
        <v>44</v>
      </c>
      <c r="G302" s="1">
        <v>46199</v>
      </c>
      <c r="H302" t="s">
        <v>68</v>
      </c>
      <c r="I302" t="s">
        <v>34</v>
      </c>
      <c r="J302" t="s">
        <v>77</v>
      </c>
      <c r="K302" t="s">
        <v>47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64</v>
      </c>
      <c r="T302" t="s">
        <v>76</v>
      </c>
      <c r="U302" t="s">
        <v>39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56</v>
      </c>
    </row>
    <row r="303" spans="1:28" x14ac:dyDescent="0.35">
      <c r="A303">
        <v>1301</v>
      </c>
      <c r="B303" t="s">
        <v>65</v>
      </c>
      <c r="C303" t="s">
        <v>29</v>
      </c>
      <c r="D303" t="s">
        <v>66</v>
      </c>
      <c r="E303" t="s">
        <v>67</v>
      </c>
      <c r="F303" t="s">
        <v>32</v>
      </c>
      <c r="G303" s="1">
        <v>46159</v>
      </c>
      <c r="H303" t="s">
        <v>54</v>
      </c>
      <c r="I303" t="s">
        <v>57</v>
      </c>
      <c r="J303" t="s">
        <v>58</v>
      </c>
      <c r="K303" t="s">
        <v>78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48</v>
      </c>
      <c r="T303" t="s">
        <v>76</v>
      </c>
      <c r="U303" t="s">
        <v>39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40</v>
      </c>
    </row>
    <row r="304" spans="1:28" x14ac:dyDescent="0.35">
      <c r="A304">
        <v>1302</v>
      </c>
      <c r="B304" t="s">
        <v>65</v>
      </c>
      <c r="C304" t="s">
        <v>29</v>
      </c>
      <c r="D304" t="s">
        <v>66</v>
      </c>
      <c r="E304" t="s">
        <v>67</v>
      </c>
      <c r="F304" t="s">
        <v>32</v>
      </c>
      <c r="G304" s="1">
        <v>46033</v>
      </c>
      <c r="H304" t="s">
        <v>45</v>
      </c>
      <c r="I304" t="s">
        <v>57</v>
      </c>
      <c r="J304" t="s">
        <v>58</v>
      </c>
      <c r="K304" t="s">
        <v>59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64</v>
      </c>
      <c r="T304" t="s">
        <v>38</v>
      </c>
      <c r="U304" t="s">
        <v>74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40</v>
      </c>
    </row>
    <row r="305" spans="1:28" x14ac:dyDescent="0.35">
      <c r="A305">
        <v>1303</v>
      </c>
      <c r="B305" t="s">
        <v>41</v>
      </c>
      <c r="C305" t="s">
        <v>29</v>
      </c>
      <c r="D305" t="s">
        <v>42</v>
      </c>
      <c r="E305" t="s">
        <v>43</v>
      </c>
      <c r="F305" t="s">
        <v>44</v>
      </c>
      <c r="G305" s="1">
        <v>46031</v>
      </c>
      <c r="H305" t="s">
        <v>45</v>
      </c>
      <c r="I305" t="s">
        <v>80</v>
      </c>
      <c r="J305" t="s">
        <v>81</v>
      </c>
      <c r="K305" t="s">
        <v>73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37</v>
      </c>
      <c r="T305" t="s">
        <v>38</v>
      </c>
      <c r="U305" t="s">
        <v>74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56</v>
      </c>
    </row>
    <row r="306" spans="1:28" x14ac:dyDescent="0.35">
      <c r="A306">
        <v>1304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s="1">
        <v>46125</v>
      </c>
      <c r="H306" t="s">
        <v>75</v>
      </c>
      <c r="I306" t="s">
        <v>69</v>
      </c>
      <c r="J306" t="s">
        <v>72</v>
      </c>
      <c r="K306" t="s">
        <v>78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64</v>
      </c>
      <c r="T306" t="s">
        <v>38</v>
      </c>
      <c r="U306" t="s">
        <v>39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56</v>
      </c>
    </row>
    <row r="307" spans="1:28" x14ac:dyDescent="0.35">
      <c r="A307">
        <v>1305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s="1">
        <v>46048</v>
      </c>
      <c r="H307" t="s">
        <v>45</v>
      </c>
      <c r="I307" t="s">
        <v>57</v>
      </c>
      <c r="J307" t="s">
        <v>58</v>
      </c>
      <c r="K307" t="s">
        <v>36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64</v>
      </c>
      <c r="T307" t="s">
        <v>38</v>
      </c>
      <c r="U307" t="s">
        <v>55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79</v>
      </c>
    </row>
    <row r="308" spans="1:28" x14ac:dyDescent="0.35">
      <c r="A308">
        <v>1306</v>
      </c>
      <c r="B308" t="s">
        <v>65</v>
      </c>
      <c r="C308" t="s">
        <v>29</v>
      </c>
      <c r="D308" t="s">
        <v>66</v>
      </c>
      <c r="E308" t="s">
        <v>67</v>
      </c>
      <c r="F308" t="s">
        <v>32</v>
      </c>
      <c r="G308" s="1">
        <v>46078</v>
      </c>
      <c r="H308" t="s">
        <v>33</v>
      </c>
      <c r="I308" t="s">
        <v>80</v>
      </c>
      <c r="J308" t="s">
        <v>82</v>
      </c>
      <c r="K308" t="s">
        <v>59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37</v>
      </c>
      <c r="T308" t="s">
        <v>49</v>
      </c>
      <c r="U308" t="s">
        <v>55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79</v>
      </c>
    </row>
    <row r="309" spans="1:28" x14ac:dyDescent="0.35">
      <c r="A309">
        <v>1307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s="1">
        <v>46193</v>
      </c>
      <c r="H309" t="s">
        <v>68</v>
      </c>
      <c r="I309" t="s">
        <v>80</v>
      </c>
      <c r="J309" t="s">
        <v>82</v>
      </c>
      <c r="K309" t="s">
        <v>59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64</v>
      </c>
      <c r="T309" t="s">
        <v>49</v>
      </c>
      <c r="U309" t="s">
        <v>55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79</v>
      </c>
    </row>
    <row r="310" spans="1:28" x14ac:dyDescent="0.35">
      <c r="A310">
        <v>1308</v>
      </c>
      <c r="B310" t="s">
        <v>41</v>
      </c>
      <c r="C310" t="s">
        <v>29</v>
      </c>
      <c r="D310" t="s">
        <v>42</v>
      </c>
      <c r="E310" t="s">
        <v>43</v>
      </c>
      <c r="F310" t="s">
        <v>44</v>
      </c>
      <c r="G310" s="1">
        <v>46124</v>
      </c>
      <c r="H310" t="s">
        <v>75</v>
      </c>
      <c r="I310" t="s">
        <v>57</v>
      </c>
      <c r="J310" t="s">
        <v>58</v>
      </c>
      <c r="K310" t="s">
        <v>78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48</v>
      </c>
      <c r="T310" t="s">
        <v>49</v>
      </c>
      <c r="U310" t="s">
        <v>55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79</v>
      </c>
    </row>
    <row r="311" spans="1:28" x14ac:dyDescent="0.35">
      <c r="A311">
        <v>1309</v>
      </c>
      <c r="B311" t="s">
        <v>65</v>
      </c>
      <c r="C311" t="s">
        <v>29</v>
      </c>
      <c r="D311" t="s">
        <v>66</v>
      </c>
      <c r="E311" t="s">
        <v>67</v>
      </c>
      <c r="F311" t="s">
        <v>32</v>
      </c>
      <c r="G311" s="1">
        <v>46119</v>
      </c>
      <c r="H311" t="s">
        <v>75</v>
      </c>
      <c r="I311" t="s">
        <v>57</v>
      </c>
      <c r="J311" t="s">
        <v>58</v>
      </c>
      <c r="K311" t="s">
        <v>36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64</v>
      </c>
      <c r="T311" t="s">
        <v>49</v>
      </c>
      <c r="U311" t="s">
        <v>74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40</v>
      </c>
    </row>
    <row r="312" spans="1:28" x14ac:dyDescent="0.35">
      <c r="A312">
        <v>1310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s="1">
        <v>46130</v>
      </c>
      <c r="H312" t="s">
        <v>75</v>
      </c>
      <c r="I312" t="s">
        <v>57</v>
      </c>
      <c r="J312" t="s">
        <v>83</v>
      </c>
      <c r="K312" t="s">
        <v>78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48</v>
      </c>
      <c r="T312" t="s">
        <v>38</v>
      </c>
      <c r="U312" t="s">
        <v>74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63</v>
      </c>
    </row>
    <row r="313" spans="1:28" x14ac:dyDescent="0.35">
      <c r="A313">
        <v>1311</v>
      </c>
      <c r="B313" t="s">
        <v>50</v>
      </c>
      <c r="C313" t="s">
        <v>29</v>
      </c>
      <c r="D313" t="s">
        <v>51</v>
      </c>
      <c r="E313" t="s">
        <v>52</v>
      </c>
      <c r="F313" t="s">
        <v>53</v>
      </c>
      <c r="G313" s="1">
        <v>46094</v>
      </c>
      <c r="H313" t="s">
        <v>71</v>
      </c>
      <c r="I313" t="s">
        <v>69</v>
      </c>
      <c r="J313" t="s">
        <v>70</v>
      </c>
      <c r="K313" t="s">
        <v>59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37</v>
      </c>
      <c r="T313" t="s">
        <v>49</v>
      </c>
      <c r="U313" t="s">
        <v>74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79</v>
      </c>
    </row>
    <row r="314" spans="1:28" x14ac:dyDescent="0.35">
      <c r="A314">
        <v>1312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s="1">
        <v>46045</v>
      </c>
      <c r="H314" t="s">
        <v>45</v>
      </c>
      <c r="I314" t="s">
        <v>57</v>
      </c>
      <c r="J314" t="s">
        <v>83</v>
      </c>
      <c r="K314" t="s">
        <v>59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48</v>
      </c>
      <c r="T314" t="s">
        <v>38</v>
      </c>
      <c r="U314" t="s">
        <v>39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40</v>
      </c>
    </row>
    <row r="315" spans="1:28" x14ac:dyDescent="0.35">
      <c r="A315">
        <v>1313</v>
      </c>
      <c r="B315" t="s">
        <v>41</v>
      </c>
      <c r="C315" t="s">
        <v>29</v>
      </c>
      <c r="D315" t="s">
        <v>42</v>
      </c>
      <c r="E315" t="s">
        <v>43</v>
      </c>
      <c r="F315" t="s">
        <v>44</v>
      </c>
      <c r="G315" s="1">
        <v>46112</v>
      </c>
      <c r="H315" t="s">
        <v>71</v>
      </c>
      <c r="I315" t="s">
        <v>69</v>
      </c>
      <c r="J315" t="s">
        <v>72</v>
      </c>
      <c r="K315" t="s">
        <v>73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37</v>
      </c>
      <c r="T315" t="s">
        <v>76</v>
      </c>
      <c r="U315" t="s">
        <v>39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63</v>
      </c>
    </row>
    <row r="316" spans="1:28" x14ac:dyDescent="0.35">
      <c r="A316">
        <v>1314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s="1">
        <v>46043</v>
      </c>
      <c r="H316" t="s">
        <v>45</v>
      </c>
      <c r="I316" t="s">
        <v>34</v>
      </c>
      <c r="J316" t="s">
        <v>46</v>
      </c>
      <c r="K316" t="s">
        <v>78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37</v>
      </c>
      <c r="T316" t="s">
        <v>38</v>
      </c>
      <c r="U316" t="s">
        <v>74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63</v>
      </c>
    </row>
    <row r="317" spans="1:28" x14ac:dyDescent="0.35">
      <c r="A317">
        <v>1315</v>
      </c>
      <c r="B317" t="s">
        <v>65</v>
      </c>
      <c r="C317" t="s">
        <v>29</v>
      </c>
      <c r="D317" t="s">
        <v>66</v>
      </c>
      <c r="E317" t="s">
        <v>67</v>
      </c>
      <c r="F317" t="s">
        <v>32</v>
      </c>
      <c r="G317" s="1">
        <v>46023</v>
      </c>
      <c r="H317" t="s">
        <v>45</v>
      </c>
      <c r="I317" t="s">
        <v>80</v>
      </c>
      <c r="J317" t="s">
        <v>82</v>
      </c>
      <c r="K317" t="s">
        <v>47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48</v>
      </c>
      <c r="T317" t="s">
        <v>49</v>
      </c>
      <c r="U317" t="s">
        <v>55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40</v>
      </c>
    </row>
    <row r="318" spans="1:28" x14ac:dyDescent="0.35">
      <c r="A318">
        <v>1316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s="1">
        <v>46133</v>
      </c>
      <c r="H318" t="s">
        <v>75</v>
      </c>
      <c r="I318" t="s">
        <v>34</v>
      </c>
      <c r="J318" t="s">
        <v>46</v>
      </c>
      <c r="K318" t="s">
        <v>36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64</v>
      </c>
      <c r="T318" t="s">
        <v>76</v>
      </c>
      <c r="U318" t="s">
        <v>39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56</v>
      </c>
    </row>
    <row r="319" spans="1:28" x14ac:dyDescent="0.35">
      <c r="A319">
        <v>1317</v>
      </c>
      <c r="B319" t="s">
        <v>50</v>
      </c>
      <c r="C319" t="s">
        <v>29</v>
      </c>
      <c r="D319" t="s">
        <v>51</v>
      </c>
      <c r="E319" t="s">
        <v>52</v>
      </c>
      <c r="F319" t="s">
        <v>53</v>
      </c>
      <c r="G319" s="1">
        <v>46141</v>
      </c>
      <c r="H319" t="s">
        <v>75</v>
      </c>
      <c r="I319" t="s">
        <v>34</v>
      </c>
      <c r="J319" t="s">
        <v>46</v>
      </c>
      <c r="K319" t="s">
        <v>59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48</v>
      </c>
      <c r="T319" t="s">
        <v>38</v>
      </c>
      <c r="U319" t="s">
        <v>39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79</v>
      </c>
    </row>
    <row r="320" spans="1:28" x14ac:dyDescent="0.35">
      <c r="A320">
        <v>1318</v>
      </c>
      <c r="B320" t="s">
        <v>41</v>
      </c>
      <c r="C320" t="s">
        <v>29</v>
      </c>
      <c r="D320" t="s">
        <v>42</v>
      </c>
      <c r="E320" t="s">
        <v>43</v>
      </c>
      <c r="F320" t="s">
        <v>44</v>
      </c>
      <c r="G320" s="1">
        <v>46160</v>
      </c>
      <c r="H320" t="s">
        <v>54</v>
      </c>
      <c r="I320" t="s">
        <v>80</v>
      </c>
      <c r="J320" t="s">
        <v>82</v>
      </c>
      <c r="K320" t="s">
        <v>59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37</v>
      </c>
      <c r="T320" t="s">
        <v>76</v>
      </c>
      <c r="U320" t="s">
        <v>74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56</v>
      </c>
    </row>
    <row r="321" spans="1:28" x14ac:dyDescent="0.35">
      <c r="A321">
        <v>1319</v>
      </c>
      <c r="B321" t="s">
        <v>50</v>
      </c>
      <c r="C321" t="s">
        <v>29</v>
      </c>
      <c r="D321" t="s">
        <v>51</v>
      </c>
      <c r="E321" t="s">
        <v>52</v>
      </c>
      <c r="F321" t="s">
        <v>53</v>
      </c>
      <c r="G321" s="1">
        <v>46051</v>
      </c>
      <c r="H321" t="s">
        <v>45</v>
      </c>
      <c r="I321" t="s">
        <v>34</v>
      </c>
      <c r="J321" t="s">
        <v>77</v>
      </c>
      <c r="K321" t="s">
        <v>36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48</v>
      </c>
      <c r="T321" t="s">
        <v>76</v>
      </c>
      <c r="U321" t="s">
        <v>74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40</v>
      </c>
    </row>
    <row r="322" spans="1:28" x14ac:dyDescent="0.35">
      <c r="A322">
        <v>1320</v>
      </c>
      <c r="B322" t="s">
        <v>65</v>
      </c>
      <c r="C322" t="s">
        <v>29</v>
      </c>
      <c r="D322" t="s">
        <v>66</v>
      </c>
      <c r="E322" t="s">
        <v>67</v>
      </c>
      <c r="F322" t="s">
        <v>32</v>
      </c>
      <c r="G322" s="1">
        <v>46063</v>
      </c>
      <c r="H322" t="s">
        <v>33</v>
      </c>
      <c r="I322" t="s">
        <v>80</v>
      </c>
      <c r="J322" t="s">
        <v>82</v>
      </c>
      <c r="K322" t="s">
        <v>78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48</v>
      </c>
      <c r="T322" t="s">
        <v>49</v>
      </c>
      <c r="U322" t="s">
        <v>74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40</v>
      </c>
    </row>
    <row r="323" spans="1:28" x14ac:dyDescent="0.35">
      <c r="A323">
        <v>1321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s="1">
        <v>46156</v>
      </c>
      <c r="H323" t="s">
        <v>54</v>
      </c>
      <c r="I323" t="s">
        <v>57</v>
      </c>
      <c r="J323" t="s">
        <v>83</v>
      </c>
      <c r="K323" t="s">
        <v>47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48</v>
      </c>
      <c r="T323" t="s">
        <v>38</v>
      </c>
      <c r="U323" t="s">
        <v>74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40</v>
      </c>
    </row>
    <row r="324" spans="1:28" x14ac:dyDescent="0.35">
      <c r="A324">
        <v>1322</v>
      </c>
      <c r="B324" t="s">
        <v>60</v>
      </c>
      <c r="C324" t="s">
        <v>29</v>
      </c>
      <c r="D324" t="s">
        <v>61</v>
      </c>
      <c r="E324" t="s">
        <v>62</v>
      </c>
      <c r="F324" t="s">
        <v>32</v>
      </c>
      <c r="G324" s="1">
        <v>46036</v>
      </c>
      <c r="H324" t="s">
        <v>45</v>
      </c>
      <c r="I324" t="s">
        <v>80</v>
      </c>
      <c r="J324" t="s">
        <v>81</v>
      </c>
      <c r="K324" t="s">
        <v>36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37</v>
      </c>
      <c r="T324" t="s">
        <v>49</v>
      </c>
      <c r="U324" t="s">
        <v>74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56</v>
      </c>
    </row>
    <row r="325" spans="1:28" x14ac:dyDescent="0.35">
      <c r="A325">
        <v>1323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s="1">
        <v>46197</v>
      </c>
      <c r="H325" t="s">
        <v>68</v>
      </c>
      <c r="I325" t="s">
        <v>80</v>
      </c>
      <c r="J325" t="s">
        <v>81</v>
      </c>
      <c r="K325" t="s">
        <v>73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48</v>
      </c>
      <c r="T325" t="s">
        <v>76</v>
      </c>
      <c r="U325" t="s">
        <v>55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79</v>
      </c>
    </row>
    <row r="326" spans="1:28" x14ac:dyDescent="0.35">
      <c r="A326">
        <v>1324</v>
      </c>
      <c r="B326" t="s">
        <v>65</v>
      </c>
      <c r="C326" t="s">
        <v>29</v>
      </c>
      <c r="D326" t="s">
        <v>66</v>
      </c>
      <c r="E326" t="s">
        <v>67</v>
      </c>
      <c r="F326" t="s">
        <v>32</v>
      </c>
      <c r="G326" s="1">
        <v>46184</v>
      </c>
      <c r="H326" t="s">
        <v>68</v>
      </c>
      <c r="I326" t="s">
        <v>34</v>
      </c>
      <c r="J326" t="s">
        <v>77</v>
      </c>
      <c r="K326" t="s">
        <v>36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37</v>
      </c>
      <c r="T326" t="s">
        <v>38</v>
      </c>
      <c r="U326" t="s">
        <v>74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79</v>
      </c>
    </row>
    <row r="327" spans="1:28" x14ac:dyDescent="0.35">
      <c r="A327">
        <v>1325</v>
      </c>
      <c r="B327" t="s">
        <v>65</v>
      </c>
      <c r="C327" t="s">
        <v>29</v>
      </c>
      <c r="D327" t="s">
        <v>66</v>
      </c>
      <c r="E327" t="s">
        <v>67</v>
      </c>
      <c r="F327" t="s">
        <v>32</v>
      </c>
      <c r="G327" s="1">
        <v>46100</v>
      </c>
      <c r="H327" t="s">
        <v>71</v>
      </c>
      <c r="I327" t="s">
        <v>80</v>
      </c>
      <c r="J327" t="s">
        <v>82</v>
      </c>
      <c r="K327" t="s">
        <v>73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37</v>
      </c>
      <c r="T327" t="s">
        <v>38</v>
      </c>
      <c r="U327" t="s">
        <v>55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63</v>
      </c>
    </row>
    <row r="328" spans="1:28" x14ac:dyDescent="0.35">
      <c r="A328">
        <v>1326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s="1">
        <v>46201</v>
      </c>
      <c r="H328" t="s">
        <v>68</v>
      </c>
      <c r="I328" t="s">
        <v>80</v>
      </c>
      <c r="J328" t="s">
        <v>82</v>
      </c>
      <c r="K328" t="s">
        <v>59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37</v>
      </c>
      <c r="T328" t="s">
        <v>76</v>
      </c>
      <c r="U328" t="s">
        <v>55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56</v>
      </c>
    </row>
    <row r="329" spans="1:28" x14ac:dyDescent="0.35">
      <c r="A329">
        <v>1327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s="1">
        <v>46090</v>
      </c>
      <c r="H329" t="s">
        <v>71</v>
      </c>
      <c r="I329" t="s">
        <v>34</v>
      </c>
      <c r="J329" t="s">
        <v>35</v>
      </c>
      <c r="K329" t="s">
        <v>78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37</v>
      </c>
      <c r="T329" t="s">
        <v>49</v>
      </c>
      <c r="U329" t="s">
        <v>39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79</v>
      </c>
    </row>
    <row r="330" spans="1:28" x14ac:dyDescent="0.35">
      <c r="A330">
        <v>1328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s="1">
        <v>46027</v>
      </c>
      <c r="H330" t="s">
        <v>45</v>
      </c>
      <c r="I330" t="s">
        <v>80</v>
      </c>
      <c r="J330" t="s">
        <v>82</v>
      </c>
      <c r="K330" t="s">
        <v>59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48</v>
      </c>
      <c r="T330" t="s">
        <v>49</v>
      </c>
      <c r="U330" t="s">
        <v>39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63</v>
      </c>
    </row>
    <row r="331" spans="1:28" x14ac:dyDescent="0.35">
      <c r="A331">
        <v>1329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s="1">
        <v>46198</v>
      </c>
      <c r="H331" t="s">
        <v>68</v>
      </c>
      <c r="I331" t="s">
        <v>57</v>
      </c>
      <c r="J331" t="s">
        <v>83</v>
      </c>
      <c r="K331" t="s">
        <v>59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64</v>
      </c>
      <c r="T331" t="s">
        <v>49</v>
      </c>
      <c r="U331" t="s">
        <v>39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40</v>
      </c>
    </row>
    <row r="332" spans="1:28" x14ac:dyDescent="0.35">
      <c r="A332">
        <v>1330</v>
      </c>
      <c r="B332" t="s">
        <v>60</v>
      </c>
      <c r="C332" t="s">
        <v>29</v>
      </c>
      <c r="D332" t="s">
        <v>61</v>
      </c>
      <c r="E332" t="s">
        <v>62</v>
      </c>
      <c r="F332" t="s">
        <v>32</v>
      </c>
      <c r="G332" s="1">
        <v>46127</v>
      </c>
      <c r="H332" t="s">
        <v>75</v>
      </c>
      <c r="I332" t="s">
        <v>34</v>
      </c>
      <c r="J332" t="s">
        <v>35</v>
      </c>
      <c r="K332" t="s">
        <v>36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48</v>
      </c>
      <c r="T332" t="s">
        <v>49</v>
      </c>
      <c r="U332" t="s">
        <v>39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56</v>
      </c>
    </row>
    <row r="333" spans="1:28" x14ac:dyDescent="0.35">
      <c r="A333">
        <v>1331</v>
      </c>
      <c r="B333" t="s">
        <v>41</v>
      </c>
      <c r="C333" t="s">
        <v>29</v>
      </c>
      <c r="D333" t="s">
        <v>42</v>
      </c>
      <c r="E333" t="s">
        <v>43</v>
      </c>
      <c r="F333" t="s">
        <v>44</v>
      </c>
      <c r="G333" s="1">
        <v>46027</v>
      </c>
      <c r="H333" t="s">
        <v>45</v>
      </c>
      <c r="I333" t="s">
        <v>57</v>
      </c>
      <c r="J333" t="s">
        <v>58</v>
      </c>
      <c r="K333" t="s">
        <v>36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48</v>
      </c>
      <c r="T333" t="s">
        <v>76</v>
      </c>
      <c r="U333" t="s">
        <v>39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40</v>
      </c>
    </row>
    <row r="334" spans="1:28" x14ac:dyDescent="0.35">
      <c r="A334">
        <v>1332</v>
      </c>
      <c r="B334" t="s">
        <v>60</v>
      </c>
      <c r="C334" t="s">
        <v>29</v>
      </c>
      <c r="D334" t="s">
        <v>61</v>
      </c>
      <c r="E334" t="s">
        <v>62</v>
      </c>
      <c r="F334" t="s">
        <v>32</v>
      </c>
      <c r="G334" s="1">
        <v>46100</v>
      </c>
      <c r="H334" t="s">
        <v>71</v>
      </c>
      <c r="I334" t="s">
        <v>69</v>
      </c>
      <c r="J334" t="s">
        <v>72</v>
      </c>
      <c r="K334" t="s">
        <v>59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48</v>
      </c>
      <c r="T334" t="s">
        <v>49</v>
      </c>
      <c r="U334" t="s">
        <v>74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63</v>
      </c>
    </row>
    <row r="335" spans="1:28" x14ac:dyDescent="0.35">
      <c r="A335">
        <v>1333</v>
      </c>
      <c r="B335" t="s">
        <v>65</v>
      </c>
      <c r="C335" t="s">
        <v>29</v>
      </c>
      <c r="D335" t="s">
        <v>66</v>
      </c>
      <c r="E335" t="s">
        <v>67</v>
      </c>
      <c r="F335" t="s">
        <v>32</v>
      </c>
      <c r="G335" s="1">
        <v>46073</v>
      </c>
      <c r="H335" t="s">
        <v>33</v>
      </c>
      <c r="I335" t="s">
        <v>57</v>
      </c>
      <c r="J335" t="s">
        <v>58</v>
      </c>
      <c r="K335" t="s">
        <v>78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64</v>
      </c>
      <c r="T335" t="s">
        <v>38</v>
      </c>
      <c r="U335" t="s">
        <v>74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63</v>
      </c>
    </row>
    <row r="336" spans="1:28" x14ac:dyDescent="0.35">
      <c r="A336">
        <v>1334</v>
      </c>
      <c r="B336" t="s">
        <v>65</v>
      </c>
      <c r="C336" t="s">
        <v>29</v>
      </c>
      <c r="D336" t="s">
        <v>66</v>
      </c>
      <c r="E336" t="s">
        <v>67</v>
      </c>
      <c r="F336" t="s">
        <v>32</v>
      </c>
      <c r="G336" s="1">
        <v>46073</v>
      </c>
      <c r="H336" t="s">
        <v>33</v>
      </c>
      <c r="I336" t="s">
        <v>69</v>
      </c>
      <c r="J336" t="s">
        <v>70</v>
      </c>
      <c r="K336" t="s">
        <v>59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37</v>
      </c>
      <c r="T336" t="s">
        <v>76</v>
      </c>
      <c r="U336" t="s">
        <v>55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40</v>
      </c>
    </row>
    <row r="337" spans="1:28" x14ac:dyDescent="0.35">
      <c r="A337">
        <v>1335</v>
      </c>
      <c r="B337" t="s">
        <v>60</v>
      </c>
      <c r="C337" t="s">
        <v>29</v>
      </c>
      <c r="D337" t="s">
        <v>61</v>
      </c>
      <c r="E337" t="s">
        <v>62</v>
      </c>
      <c r="F337" t="s">
        <v>32</v>
      </c>
      <c r="G337" s="1">
        <v>46129</v>
      </c>
      <c r="H337" t="s">
        <v>75</v>
      </c>
      <c r="I337" t="s">
        <v>34</v>
      </c>
      <c r="J337" t="s">
        <v>46</v>
      </c>
      <c r="K337" t="s">
        <v>78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48</v>
      </c>
      <c r="T337" t="s">
        <v>38</v>
      </c>
      <c r="U337" t="s">
        <v>39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40</v>
      </c>
    </row>
    <row r="338" spans="1:28" x14ac:dyDescent="0.35">
      <c r="A338">
        <v>1336</v>
      </c>
      <c r="B338" t="s">
        <v>41</v>
      </c>
      <c r="C338" t="s">
        <v>29</v>
      </c>
      <c r="D338" t="s">
        <v>42</v>
      </c>
      <c r="E338" t="s">
        <v>43</v>
      </c>
      <c r="F338" t="s">
        <v>44</v>
      </c>
      <c r="G338" s="1">
        <v>46138</v>
      </c>
      <c r="H338" t="s">
        <v>75</v>
      </c>
      <c r="I338" t="s">
        <v>69</v>
      </c>
      <c r="J338" t="s">
        <v>72</v>
      </c>
      <c r="K338" t="s">
        <v>73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48</v>
      </c>
      <c r="T338" t="s">
        <v>76</v>
      </c>
      <c r="U338" t="s">
        <v>55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56</v>
      </c>
    </row>
    <row r="339" spans="1:28" x14ac:dyDescent="0.35">
      <c r="A339">
        <v>1337</v>
      </c>
      <c r="B339" t="s">
        <v>41</v>
      </c>
      <c r="C339" t="s">
        <v>29</v>
      </c>
      <c r="D339" t="s">
        <v>42</v>
      </c>
      <c r="E339" t="s">
        <v>43</v>
      </c>
      <c r="F339" t="s">
        <v>44</v>
      </c>
      <c r="G339" s="1">
        <v>46062</v>
      </c>
      <c r="H339" t="s">
        <v>33</v>
      </c>
      <c r="I339" t="s">
        <v>34</v>
      </c>
      <c r="J339" t="s">
        <v>46</v>
      </c>
      <c r="K339" t="s">
        <v>47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37</v>
      </c>
      <c r="T339" t="s">
        <v>49</v>
      </c>
      <c r="U339" t="s">
        <v>74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40</v>
      </c>
    </row>
    <row r="340" spans="1:28" x14ac:dyDescent="0.35">
      <c r="A340">
        <v>1338</v>
      </c>
      <c r="B340" t="s">
        <v>41</v>
      </c>
      <c r="C340" t="s">
        <v>29</v>
      </c>
      <c r="D340" t="s">
        <v>42</v>
      </c>
      <c r="E340" t="s">
        <v>43</v>
      </c>
      <c r="F340" t="s">
        <v>44</v>
      </c>
      <c r="G340" s="1">
        <v>46075</v>
      </c>
      <c r="H340" t="s">
        <v>33</v>
      </c>
      <c r="I340" t="s">
        <v>80</v>
      </c>
      <c r="J340" t="s">
        <v>81</v>
      </c>
      <c r="K340" t="s">
        <v>78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48</v>
      </c>
      <c r="T340" t="s">
        <v>38</v>
      </c>
      <c r="U340" t="s">
        <v>74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56</v>
      </c>
    </row>
    <row r="341" spans="1:28" x14ac:dyDescent="0.35">
      <c r="A341">
        <v>1339</v>
      </c>
      <c r="B341" t="s">
        <v>50</v>
      </c>
      <c r="C341" t="s">
        <v>29</v>
      </c>
      <c r="D341" t="s">
        <v>51</v>
      </c>
      <c r="E341" t="s">
        <v>52</v>
      </c>
      <c r="F341" t="s">
        <v>53</v>
      </c>
      <c r="G341" s="1">
        <v>46084</v>
      </c>
      <c r="H341" t="s">
        <v>71</v>
      </c>
      <c r="I341" t="s">
        <v>57</v>
      </c>
      <c r="J341" t="s">
        <v>83</v>
      </c>
      <c r="K341" t="s">
        <v>59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37</v>
      </c>
      <c r="T341" t="s">
        <v>76</v>
      </c>
      <c r="U341" t="s">
        <v>55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40</v>
      </c>
    </row>
    <row r="342" spans="1:28" x14ac:dyDescent="0.35">
      <c r="A342">
        <v>1340</v>
      </c>
      <c r="B342" t="s">
        <v>50</v>
      </c>
      <c r="C342" t="s">
        <v>29</v>
      </c>
      <c r="D342" t="s">
        <v>51</v>
      </c>
      <c r="E342" t="s">
        <v>52</v>
      </c>
      <c r="F342" t="s">
        <v>53</v>
      </c>
      <c r="G342" s="1">
        <v>46023</v>
      </c>
      <c r="H342" t="s">
        <v>45</v>
      </c>
      <c r="I342" t="s">
        <v>69</v>
      </c>
      <c r="J342" t="s">
        <v>72</v>
      </c>
      <c r="K342" t="s">
        <v>36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48</v>
      </c>
      <c r="T342" t="s">
        <v>49</v>
      </c>
      <c r="U342" t="s">
        <v>55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40</v>
      </c>
    </row>
    <row r="343" spans="1:28" x14ac:dyDescent="0.35">
      <c r="A343">
        <v>1341</v>
      </c>
      <c r="B343" t="s">
        <v>50</v>
      </c>
      <c r="C343" t="s">
        <v>29</v>
      </c>
      <c r="D343" t="s">
        <v>51</v>
      </c>
      <c r="E343" t="s">
        <v>52</v>
      </c>
      <c r="F343" t="s">
        <v>53</v>
      </c>
      <c r="G343" s="1">
        <v>46094</v>
      </c>
      <c r="H343" t="s">
        <v>71</v>
      </c>
      <c r="I343" t="s">
        <v>80</v>
      </c>
      <c r="J343" t="s">
        <v>81</v>
      </c>
      <c r="K343" t="s">
        <v>36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37</v>
      </c>
      <c r="T343" t="s">
        <v>76</v>
      </c>
      <c r="U343" t="s">
        <v>39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63</v>
      </c>
    </row>
    <row r="344" spans="1:28" x14ac:dyDescent="0.35">
      <c r="A344">
        <v>1342</v>
      </c>
      <c r="B344" t="s">
        <v>50</v>
      </c>
      <c r="C344" t="s">
        <v>29</v>
      </c>
      <c r="D344" t="s">
        <v>51</v>
      </c>
      <c r="E344" t="s">
        <v>52</v>
      </c>
      <c r="F344" t="s">
        <v>53</v>
      </c>
      <c r="G344" s="1">
        <v>46192</v>
      </c>
      <c r="H344" t="s">
        <v>68</v>
      </c>
      <c r="I344" t="s">
        <v>34</v>
      </c>
      <c r="J344" t="s">
        <v>77</v>
      </c>
      <c r="K344" t="s">
        <v>73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37</v>
      </c>
      <c r="T344" t="s">
        <v>49</v>
      </c>
      <c r="U344" t="s">
        <v>39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63</v>
      </c>
    </row>
    <row r="345" spans="1:28" x14ac:dyDescent="0.35">
      <c r="A345">
        <v>1343</v>
      </c>
      <c r="B345" t="s">
        <v>65</v>
      </c>
      <c r="C345" t="s">
        <v>29</v>
      </c>
      <c r="D345" t="s">
        <v>66</v>
      </c>
      <c r="E345" t="s">
        <v>67</v>
      </c>
      <c r="F345" t="s">
        <v>32</v>
      </c>
      <c r="G345" s="1">
        <v>46130</v>
      </c>
      <c r="H345" t="s">
        <v>75</v>
      </c>
      <c r="I345" t="s">
        <v>80</v>
      </c>
      <c r="J345" t="s">
        <v>81</v>
      </c>
      <c r="K345" t="s">
        <v>59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48</v>
      </c>
      <c r="T345" t="s">
        <v>38</v>
      </c>
      <c r="U345" t="s">
        <v>74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56</v>
      </c>
    </row>
    <row r="346" spans="1:28" x14ac:dyDescent="0.35">
      <c r="A346">
        <v>1344</v>
      </c>
      <c r="B346" t="s">
        <v>60</v>
      </c>
      <c r="C346" t="s">
        <v>29</v>
      </c>
      <c r="D346" t="s">
        <v>61</v>
      </c>
      <c r="E346" t="s">
        <v>62</v>
      </c>
      <c r="F346" t="s">
        <v>32</v>
      </c>
      <c r="G346" s="1">
        <v>46052</v>
      </c>
      <c r="H346" t="s">
        <v>45</v>
      </c>
      <c r="I346" t="s">
        <v>80</v>
      </c>
      <c r="J346" t="s">
        <v>81</v>
      </c>
      <c r="K346" t="s">
        <v>47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48</v>
      </c>
      <c r="T346" t="s">
        <v>76</v>
      </c>
      <c r="U346" t="s">
        <v>39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56</v>
      </c>
    </row>
    <row r="347" spans="1:28" x14ac:dyDescent="0.35">
      <c r="A347">
        <v>1345</v>
      </c>
      <c r="B347" t="s">
        <v>60</v>
      </c>
      <c r="C347" t="s">
        <v>29</v>
      </c>
      <c r="D347" t="s">
        <v>61</v>
      </c>
      <c r="E347" t="s">
        <v>62</v>
      </c>
      <c r="F347" t="s">
        <v>32</v>
      </c>
      <c r="G347" s="1">
        <v>46135</v>
      </c>
      <c r="H347" t="s">
        <v>75</v>
      </c>
      <c r="I347" t="s">
        <v>34</v>
      </c>
      <c r="J347" t="s">
        <v>46</v>
      </c>
      <c r="K347" t="s">
        <v>59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37</v>
      </c>
      <c r="T347" t="s">
        <v>76</v>
      </c>
      <c r="U347" t="s">
        <v>55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40</v>
      </c>
    </row>
    <row r="348" spans="1:28" x14ac:dyDescent="0.35">
      <c r="A348">
        <v>1346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s="1">
        <v>46190</v>
      </c>
      <c r="H348" t="s">
        <v>68</v>
      </c>
      <c r="I348" t="s">
        <v>69</v>
      </c>
      <c r="J348" t="s">
        <v>70</v>
      </c>
      <c r="K348" t="s">
        <v>73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48</v>
      </c>
      <c r="T348" t="s">
        <v>76</v>
      </c>
      <c r="U348" t="s">
        <v>39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63</v>
      </c>
    </row>
    <row r="349" spans="1:28" x14ac:dyDescent="0.35">
      <c r="A349">
        <v>1347</v>
      </c>
      <c r="B349" t="s">
        <v>50</v>
      </c>
      <c r="C349" t="s">
        <v>29</v>
      </c>
      <c r="D349" t="s">
        <v>51</v>
      </c>
      <c r="E349" t="s">
        <v>52</v>
      </c>
      <c r="F349" t="s">
        <v>53</v>
      </c>
      <c r="G349" s="1">
        <v>46203</v>
      </c>
      <c r="H349" t="s">
        <v>68</v>
      </c>
      <c r="I349" t="s">
        <v>69</v>
      </c>
      <c r="J349" t="s">
        <v>72</v>
      </c>
      <c r="K349" t="s">
        <v>59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48</v>
      </c>
      <c r="T349" t="s">
        <v>38</v>
      </c>
      <c r="U349" t="s">
        <v>39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63</v>
      </c>
    </row>
    <row r="350" spans="1:28" x14ac:dyDescent="0.35">
      <c r="A350">
        <v>1348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s="1">
        <v>46033</v>
      </c>
      <c r="H350" t="s">
        <v>45</v>
      </c>
      <c r="I350" t="s">
        <v>34</v>
      </c>
      <c r="J350" t="s">
        <v>77</v>
      </c>
      <c r="K350" t="s">
        <v>73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37</v>
      </c>
      <c r="T350" t="s">
        <v>49</v>
      </c>
      <c r="U350" t="s">
        <v>39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79</v>
      </c>
    </row>
    <row r="351" spans="1:28" x14ac:dyDescent="0.35">
      <c r="A351">
        <v>1349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s="1">
        <v>46112</v>
      </c>
      <c r="H351" t="s">
        <v>71</v>
      </c>
      <c r="I351" t="s">
        <v>80</v>
      </c>
      <c r="J351" t="s">
        <v>82</v>
      </c>
      <c r="K351" t="s">
        <v>73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37</v>
      </c>
      <c r="T351" t="s">
        <v>38</v>
      </c>
      <c r="U351" t="s">
        <v>55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56</v>
      </c>
    </row>
    <row r="352" spans="1:28" x14ac:dyDescent="0.35">
      <c r="A352">
        <v>1350</v>
      </c>
      <c r="B352" t="s">
        <v>41</v>
      </c>
      <c r="C352" t="s">
        <v>29</v>
      </c>
      <c r="D352" t="s">
        <v>42</v>
      </c>
      <c r="E352" t="s">
        <v>43</v>
      </c>
      <c r="F352" t="s">
        <v>44</v>
      </c>
      <c r="G352" s="1">
        <v>46108</v>
      </c>
      <c r="H352" t="s">
        <v>71</v>
      </c>
      <c r="I352" t="s">
        <v>57</v>
      </c>
      <c r="J352" t="s">
        <v>58</v>
      </c>
      <c r="K352" t="s">
        <v>73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37</v>
      </c>
      <c r="T352" t="s">
        <v>49</v>
      </c>
      <c r="U352" t="s">
        <v>74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63</v>
      </c>
    </row>
    <row r="353" spans="1:28" x14ac:dyDescent="0.35">
      <c r="A353">
        <v>1351</v>
      </c>
      <c r="B353" t="s">
        <v>41</v>
      </c>
      <c r="C353" t="s">
        <v>29</v>
      </c>
      <c r="D353" t="s">
        <v>42</v>
      </c>
      <c r="E353" t="s">
        <v>43</v>
      </c>
      <c r="F353" t="s">
        <v>44</v>
      </c>
      <c r="G353" s="1">
        <v>46188</v>
      </c>
      <c r="H353" t="s">
        <v>68</v>
      </c>
      <c r="I353" t="s">
        <v>80</v>
      </c>
      <c r="J353" t="s">
        <v>82</v>
      </c>
      <c r="K353" t="s">
        <v>36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37</v>
      </c>
      <c r="T353" t="s">
        <v>38</v>
      </c>
      <c r="U353" t="s">
        <v>55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40</v>
      </c>
    </row>
    <row r="354" spans="1:28" x14ac:dyDescent="0.35">
      <c r="A354">
        <v>1352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s="1">
        <v>46046</v>
      </c>
      <c r="H354" t="s">
        <v>45</v>
      </c>
      <c r="I354" t="s">
        <v>69</v>
      </c>
      <c r="J354" t="s">
        <v>72</v>
      </c>
      <c r="K354" t="s">
        <v>73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48</v>
      </c>
      <c r="T354" t="s">
        <v>38</v>
      </c>
      <c r="U354" t="s">
        <v>55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79</v>
      </c>
    </row>
    <row r="355" spans="1:28" x14ac:dyDescent="0.35">
      <c r="A355">
        <v>1353</v>
      </c>
      <c r="B355" t="s">
        <v>65</v>
      </c>
      <c r="C355" t="s">
        <v>29</v>
      </c>
      <c r="D355" t="s">
        <v>66</v>
      </c>
      <c r="E355" t="s">
        <v>67</v>
      </c>
      <c r="F355" t="s">
        <v>32</v>
      </c>
      <c r="G355" s="1">
        <v>46150</v>
      </c>
      <c r="H355" t="s">
        <v>54</v>
      </c>
      <c r="I355" t="s">
        <v>80</v>
      </c>
      <c r="J355" t="s">
        <v>81</v>
      </c>
      <c r="K355" t="s">
        <v>36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37</v>
      </c>
      <c r="T355" t="s">
        <v>49</v>
      </c>
      <c r="U355" t="s">
        <v>74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56</v>
      </c>
    </row>
    <row r="356" spans="1:28" x14ac:dyDescent="0.35">
      <c r="A356">
        <v>1354</v>
      </c>
      <c r="B356" t="s">
        <v>50</v>
      </c>
      <c r="C356" t="s">
        <v>29</v>
      </c>
      <c r="D356" t="s">
        <v>51</v>
      </c>
      <c r="E356" t="s">
        <v>52</v>
      </c>
      <c r="F356" t="s">
        <v>53</v>
      </c>
      <c r="G356" s="1">
        <v>46088</v>
      </c>
      <c r="H356" t="s">
        <v>71</v>
      </c>
      <c r="I356" t="s">
        <v>57</v>
      </c>
      <c r="J356" t="s">
        <v>83</v>
      </c>
      <c r="K356" t="s">
        <v>47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48</v>
      </c>
      <c r="T356" t="s">
        <v>49</v>
      </c>
      <c r="U356" t="s">
        <v>55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63</v>
      </c>
    </row>
    <row r="357" spans="1:28" x14ac:dyDescent="0.35">
      <c r="A357">
        <v>1355</v>
      </c>
      <c r="B357" t="s">
        <v>50</v>
      </c>
      <c r="C357" t="s">
        <v>29</v>
      </c>
      <c r="D357" t="s">
        <v>51</v>
      </c>
      <c r="E357" t="s">
        <v>52</v>
      </c>
      <c r="F357" t="s">
        <v>53</v>
      </c>
      <c r="G357" s="1">
        <v>46135</v>
      </c>
      <c r="H357" t="s">
        <v>75</v>
      </c>
      <c r="I357" t="s">
        <v>69</v>
      </c>
      <c r="J357" t="s">
        <v>72</v>
      </c>
      <c r="K357" t="s">
        <v>59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48</v>
      </c>
      <c r="T357" t="s">
        <v>38</v>
      </c>
      <c r="U357" t="s">
        <v>74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79</v>
      </c>
    </row>
    <row r="358" spans="1:28" x14ac:dyDescent="0.35">
      <c r="A358">
        <v>1356</v>
      </c>
      <c r="B358" t="s">
        <v>41</v>
      </c>
      <c r="C358" t="s">
        <v>29</v>
      </c>
      <c r="D358" t="s">
        <v>42</v>
      </c>
      <c r="E358" t="s">
        <v>43</v>
      </c>
      <c r="F358" t="s">
        <v>44</v>
      </c>
      <c r="G358" s="1">
        <v>46130</v>
      </c>
      <c r="H358" t="s">
        <v>75</v>
      </c>
      <c r="I358" t="s">
        <v>80</v>
      </c>
      <c r="J358" t="s">
        <v>81</v>
      </c>
      <c r="K358" t="s">
        <v>47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64</v>
      </c>
      <c r="T358" t="s">
        <v>49</v>
      </c>
      <c r="U358" t="s">
        <v>74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56</v>
      </c>
    </row>
    <row r="359" spans="1:28" x14ac:dyDescent="0.35">
      <c r="A359">
        <v>1357</v>
      </c>
      <c r="B359" t="s">
        <v>50</v>
      </c>
      <c r="C359" t="s">
        <v>29</v>
      </c>
      <c r="D359" t="s">
        <v>51</v>
      </c>
      <c r="E359" t="s">
        <v>52</v>
      </c>
      <c r="F359" t="s">
        <v>53</v>
      </c>
      <c r="G359" s="1">
        <v>46032</v>
      </c>
      <c r="H359" t="s">
        <v>45</v>
      </c>
      <c r="I359" t="s">
        <v>57</v>
      </c>
      <c r="J359" t="s">
        <v>58</v>
      </c>
      <c r="K359" t="s">
        <v>47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64</v>
      </c>
      <c r="T359" t="s">
        <v>38</v>
      </c>
      <c r="U359" t="s">
        <v>55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40</v>
      </c>
    </row>
    <row r="360" spans="1:28" x14ac:dyDescent="0.35">
      <c r="A360">
        <v>1358</v>
      </c>
      <c r="B360" t="s">
        <v>50</v>
      </c>
      <c r="C360" t="s">
        <v>29</v>
      </c>
      <c r="D360" t="s">
        <v>51</v>
      </c>
      <c r="E360" t="s">
        <v>52</v>
      </c>
      <c r="F360" t="s">
        <v>53</v>
      </c>
      <c r="G360" s="1">
        <v>46076</v>
      </c>
      <c r="H360" t="s">
        <v>33</v>
      </c>
      <c r="I360" t="s">
        <v>80</v>
      </c>
      <c r="J360" t="s">
        <v>81</v>
      </c>
      <c r="K360" t="s">
        <v>47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48</v>
      </c>
      <c r="T360" t="s">
        <v>38</v>
      </c>
      <c r="U360" t="s">
        <v>74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40</v>
      </c>
    </row>
    <row r="361" spans="1:28" x14ac:dyDescent="0.35">
      <c r="A361">
        <v>1359</v>
      </c>
      <c r="B361" t="s">
        <v>65</v>
      </c>
      <c r="C361" t="s">
        <v>29</v>
      </c>
      <c r="D361" t="s">
        <v>66</v>
      </c>
      <c r="E361" t="s">
        <v>67</v>
      </c>
      <c r="F361" t="s">
        <v>32</v>
      </c>
      <c r="G361" s="1">
        <v>46103</v>
      </c>
      <c r="H361" t="s">
        <v>71</v>
      </c>
      <c r="I361" t="s">
        <v>34</v>
      </c>
      <c r="J361" t="s">
        <v>46</v>
      </c>
      <c r="K361" t="s">
        <v>78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37</v>
      </c>
      <c r="T361" t="s">
        <v>49</v>
      </c>
      <c r="U361" t="s">
        <v>74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79</v>
      </c>
    </row>
    <row r="362" spans="1:28" x14ac:dyDescent="0.35">
      <c r="A362">
        <v>1360</v>
      </c>
      <c r="B362" t="s">
        <v>65</v>
      </c>
      <c r="C362" t="s">
        <v>29</v>
      </c>
      <c r="D362" t="s">
        <v>66</v>
      </c>
      <c r="E362" t="s">
        <v>67</v>
      </c>
      <c r="F362" t="s">
        <v>32</v>
      </c>
      <c r="G362" s="1">
        <v>46109</v>
      </c>
      <c r="H362" t="s">
        <v>71</v>
      </c>
      <c r="I362" t="s">
        <v>80</v>
      </c>
      <c r="J362" t="s">
        <v>82</v>
      </c>
      <c r="K362" t="s">
        <v>73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37</v>
      </c>
      <c r="T362" t="s">
        <v>38</v>
      </c>
      <c r="U362" t="s">
        <v>39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40</v>
      </c>
    </row>
    <row r="363" spans="1:28" x14ac:dyDescent="0.35">
      <c r="A363">
        <v>1361</v>
      </c>
      <c r="B363" t="s">
        <v>65</v>
      </c>
      <c r="C363" t="s">
        <v>29</v>
      </c>
      <c r="D363" t="s">
        <v>66</v>
      </c>
      <c r="E363" t="s">
        <v>67</v>
      </c>
      <c r="F363" t="s">
        <v>32</v>
      </c>
      <c r="G363" s="1">
        <v>46086</v>
      </c>
      <c r="H363" t="s">
        <v>71</v>
      </c>
      <c r="I363" t="s">
        <v>57</v>
      </c>
      <c r="J363" t="s">
        <v>58</v>
      </c>
      <c r="K363" t="s">
        <v>36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64</v>
      </c>
      <c r="T363" t="s">
        <v>38</v>
      </c>
      <c r="U363" t="s">
        <v>39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56</v>
      </c>
    </row>
    <row r="364" spans="1:28" x14ac:dyDescent="0.35">
      <c r="A364">
        <v>1362</v>
      </c>
      <c r="B364" t="s">
        <v>65</v>
      </c>
      <c r="C364" t="s">
        <v>29</v>
      </c>
      <c r="D364" t="s">
        <v>66</v>
      </c>
      <c r="E364" t="s">
        <v>67</v>
      </c>
      <c r="F364" t="s">
        <v>32</v>
      </c>
      <c r="G364" s="1">
        <v>46045</v>
      </c>
      <c r="H364" t="s">
        <v>45</v>
      </c>
      <c r="I364" t="s">
        <v>69</v>
      </c>
      <c r="J364" t="s">
        <v>70</v>
      </c>
      <c r="K364" t="s">
        <v>73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64</v>
      </c>
      <c r="T364" t="s">
        <v>49</v>
      </c>
      <c r="U364" t="s">
        <v>39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79</v>
      </c>
    </row>
    <row r="365" spans="1:28" x14ac:dyDescent="0.35">
      <c r="A365">
        <v>1363</v>
      </c>
      <c r="B365" t="s">
        <v>60</v>
      </c>
      <c r="C365" t="s">
        <v>29</v>
      </c>
      <c r="D365" t="s">
        <v>61</v>
      </c>
      <c r="E365" t="s">
        <v>62</v>
      </c>
      <c r="F365" t="s">
        <v>32</v>
      </c>
      <c r="G365" s="1">
        <v>46147</v>
      </c>
      <c r="H365" t="s">
        <v>54</v>
      </c>
      <c r="I365" t="s">
        <v>80</v>
      </c>
      <c r="J365" t="s">
        <v>82</v>
      </c>
      <c r="K365" t="s">
        <v>36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64</v>
      </c>
      <c r="T365" t="s">
        <v>76</v>
      </c>
      <c r="U365" t="s">
        <v>39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79</v>
      </c>
    </row>
    <row r="366" spans="1:28" x14ac:dyDescent="0.35">
      <c r="A366">
        <v>1364</v>
      </c>
      <c r="B366" t="s">
        <v>41</v>
      </c>
      <c r="C366" t="s">
        <v>29</v>
      </c>
      <c r="D366" t="s">
        <v>42</v>
      </c>
      <c r="E366" t="s">
        <v>43</v>
      </c>
      <c r="F366" t="s">
        <v>44</v>
      </c>
      <c r="G366" s="1">
        <v>46100</v>
      </c>
      <c r="H366" t="s">
        <v>71</v>
      </c>
      <c r="I366" t="s">
        <v>80</v>
      </c>
      <c r="J366" t="s">
        <v>82</v>
      </c>
      <c r="K366" t="s">
        <v>36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37</v>
      </c>
      <c r="T366" t="s">
        <v>38</v>
      </c>
      <c r="U366" t="s">
        <v>55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56</v>
      </c>
    </row>
    <row r="367" spans="1:28" x14ac:dyDescent="0.35">
      <c r="A367">
        <v>1365</v>
      </c>
      <c r="B367" t="s">
        <v>65</v>
      </c>
      <c r="C367" t="s">
        <v>29</v>
      </c>
      <c r="D367" t="s">
        <v>66</v>
      </c>
      <c r="E367" t="s">
        <v>67</v>
      </c>
      <c r="F367" t="s">
        <v>32</v>
      </c>
      <c r="G367" s="1">
        <v>46031</v>
      </c>
      <c r="H367" t="s">
        <v>45</v>
      </c>
      <c r="I367" t="s">
        <v>34</v>
      </c>
      <c r="J367" t="s">
        <v>35</v>
      </c>
      <c r="K367" t="s">
        <v>36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37</v>
      </c>
      <c r="T367" t="s">
        <v>38</v>
      </c>
      <c r="U367" t="s">
        <v>74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40</v>
      </c>
    </row>
    <row r="368" spans="1:28" x14ac:dyDescent="0.35">
      <c r="A368">
        <v>1366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s="1">
        <v>46203</v>
      </c>
      <c r="H368" t="s">
        <v>68</v>
      </c>
      <c r="I368" t="s">
        <v>80</v>
      </c>
      <c r="J368" t="s">
        <v>82</v>
      </c>
      <c r="K368" t="s">
        <v>36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48</v>
      </c>
      <c r="T368" t="s">
        <v>38</v>
      </c>
      <c r="U368" t="s">
        <v>74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40</v>
      </c>
    </row>
    <row r="369" spans="1:28" x14ac:dyDescent="0.35">
      <c r="A369">
        <v>1367</v>
      </c>
      <c r="B369" t="s">
        <v>50</v>
      </c>
      <c r="C369" t="s">
        <v>29</v>
      </c>
      <c r="D369" t="s">
        <v>51</v>
      </c>
      <c r="E369" t="s">
        <v>52</v>
      </c>
      <c r="F369" t="s">
        <v>53</v>
      </c>
      <c r="G369" s="1">
        <v>46162</v>
      </c>
      <c r="H369" t="s">
        <v>54</v>
      </c>
      <c r="I369" t="s">
        <v>80</v>
      </c>
      <c r="J369" t="s">
        <v>81</v>
      </c>
      <c r="K369" t="s">
        <v>59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64</v>
      </c>
      <c r="T369" t="s">
        <v>76</v>
      </c>
      <c r="U369" t="s">
        <v>39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79</v>
      </c>
    </row>
    <row r="370" spans="1:28" x14ac:dyDescent="0.35">
      <c r="A370">
        <v>1368</v>
      </c>
      <c r="B370" t="s">
        <v>65</v>
      </c>
      <c r="C370" t="s">
        <v>29</v>
      </c>
      <c r="D370" t="s">
        <v>66</v>
      </c>
      <c r="E370" t="s">
        <v>67</v>
      </c>
      <c r="F370" t="s">
        <v>32</v>
      </c>
      <c r="G370" s="1">
        <v>46190</v>
      </c>
      <c r="H370" t="s">
        <v>68</v>
      </c>
      <c r="I370" t="s">
        <v>80</v>
      </c>
      <c r="J370" t="s">
        <v>81</v>
      </c>
      <c r="K370" t="s">
        <v>78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64</v>
      </c>
      <c r="T370" t="s">
        <v>49</v>
      </c>
      <c r="U370" t="s">
        <v>55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63</v>
      </c>
    </row>
    <row r="371" spans="1:28" x14ac:dyDescent="0.35">
      <c r="A371">
        <v>1369</v>
      </c>
      <c r="B371" t="s">
        <v>50</v>
      </c>
      <c r="C371" t="s">
        <v>29</v>
      </c>
      <c r="D371" t="s">
        <v>51</v>
      </c>
      <c r="E371" t="s">
        <v>52</v>
      </c>
      <c r="F371" t="s">
        <v>53</v>
      </c>
      <c r="G371" s="1">
        <v>46075</v>
      </c>
      <c r="H371" t="s">
        <v>33</v>
      </c>
      <c r="I371" t="s">
        <v>69</v>
      </c>
      <c r="J371" t="s">
        <v>70</v>
      </c>
      <c r="K371" t="s">
        <v>73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48</v>
      </c>
      <c r="T371" t="s">
        <v>49</v>
      </c>
      <c r="U371" t="s">
        <v>74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40</v>
      </c>
    </row>
    <row r="372" spans="1:28" x14ac:dyDescent="0.35">
      <c r="A372">
        <v>1370</v>
      </c>
      <c r="B372" t="s">
        <v>50</v>
      </c>
      <c r="C372" t="s">
        <v>29</v>
      </c>
      <c r="D372" t="s">
        <v>51</v>
      </c>
      <c r="E372" t="s">
        <v>52</v>
      </c>
      <c r="F372" t="s">
        <v>53</v>
      </c>
      <c r="G372" s="1">
        <v>46024</v>
      </c>
      <c r="H372" t="s">
        <v>45</v>
      </c>
      <c r="I372" t="s">
        <v>80</v>
      </c>
      <c r="J372" t="s">
        <v>82</v>
      </c>
      <c r="K372" t="s">
        <v>36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37</v>
      </c>
      <c r="T372" t="s">
        <v>49</v>
      </c>
      <c r="U372" t="s">
        <v>39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63</v>
      </c>
    </row>
    <row r="373" spans="1:28" x14ac:dyDescent="0.35">
      <c r="A373">
        <v>1371</v>
      </c>
      <c r="B373" t="s">
        <v>60</v>
      </c>
      <c r="C373" t="s">
        <v>29</v>
      </c>
      <c r="D373" t="s">
        <v>61</v>
      </c>
      <c r="E373" t="s">
        <v>62</v>
      </c>
      <c r="F373" t="s">
        <v>32</v>
      </c>
      <c r="G373" s="1">
        <v>46132</v>
      </c>
      <c r="H373" t="s">
        <v>75</v>
      </c>
      <c r="I373" t="s">
        <v>57</v>
      </c>
      <c r="J373" t="s">
        <v>83</v>
      </c>
      <c r="K373" t="s">
        <v>78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64</v>
      </c>
      <c r="T373" t="s">
        <v>76</v>
      </c>
      <c r="U373" t="s">
        <v>55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56</v>
      </c>
    </row>
    <row r="374" spans="1:28" x14ac:dyDescent="0.35">
      <c r="A374">
        <v>1372</v>
      </c>
      <c r="B374" t="s">
        <v>50</v>
      </c>
      <c r="C374" t="s">
        <v>29</v>
      </c>
      <c r="D374" t="s">
        <v>51</v>
      </c>
      <c r="E374" t="s">
        <v>52</v>
      </c>
      <c r="F374" t="s">
        <v>53</v>
      </c>
      <c r="G374" s="1">
        <v>46100</v>
      </c>
      <c r="H374" t="s">
        <v>71</v>
      </c>
      <c r="I374" t="s">
        <v>34</v>
      </c>
      <c r="J374" t="s">
        <v>35</v>
      </c>
      <c r="K374" t="s">
        <v>78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48</v>
      </c>
      <c r="T374" t="s">
        <v>76</v>
      </c>
      <c r="U374" t="s">
        <v>74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56</v>
      </c>
    </row>
    <row r="375" spans="1:28" x14ac:dyDescent="0.35">
      <c r="A375">
        <v>1373</v>
      </c>
      <c r="B375" t="s">
        <v>65</v>
      </c>
      <c r="C375" t="s">
        <v>29</v>
      </c>
      <c r="D375" t="s">
        <v>66</v>
      </c>
      <c r="E375" t="s">
        <v>67</v>
      </c>
      <c r="F375" t="s">
        <v>32</v>
      </c>
      <c r="G375" s="1">
        <v>46167</v>
      </c>
      <c r="H375" t="s">
        <v>54</v>
      </c>
      <c r="I375" t="s">
        <v>80</v>
      </c>
      <c r="J375" t="s">
        <v>81</v>
      </c>
      <c r="K375" t="s">
        <v>36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64</v>
      </c>
      <c r="T375" t="s">
        <v>49</v>
      </c>
      <c r="U375" t="s">
        <v>55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56</v>
      </c>
    </row>
    <row r="376" spans="1:28" x14ac:dyDescent="0.35">
      <c r="A376">
        <v>1374</v>
      </c>
      <c r="B376" t="s">
        <v>60</v>
      </c>
      <c r="C376" t="s">
        <v>29</v>
      </c>
      <c r="D376" t="s">
        <v>61</v>
      </c>
      <c r="E376" t="s">
        <v>62</v>
      </c>
      <c r="F376" t="s">
        <v>32</v>
      </c>
      <c r="G376" s="1">
        <v>46172</v>
      </c>
      <c r="H376" t="s">
        <v>54</v>
      </c>
      <c r="I376" t="s">
        <v>57</v>
      </c>
      <c r="J376" t="s">
        <v>58</v>
      </c>
      <c r="K376" t="s">
        <v>36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37</v>
      </c>
      <c r="T376" t="s">
        <v>38</v>
      </c>
      <c r="U376" t="s">
        <v>39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40</v>
      </c>
    </row>
    <row r="377" spans="1:28" x14ac:dyDescent="0.35">
      <c r="A377">
        <v>1375</v>
      </c>
      <c r="B377" t="s">
        <v>65</v>
      </c>
      <c r="C377" t="s">
        <v>29</v>
      </c>
      <c r="D377" t="s">
        <v>66</v>
      </c>
      <c r="E377" t="s">
        <v>67</v>
      </c>
      <c r="F377" t="s">
        <v>32</v>
      </c>
      <c r="G377" s="1">
        <v>46150</v>
      </c>
      <c r="H377" t="s">
        <v>54</v>
      </c>
      <c r="I377" t="s">
        <v>69</v>
      </c>
      <c r="J377" t="s">
        <v>72</v>
      </c>
      <c r="K377" t="s">
        <v>47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64</v>
      </c>
      <c r="T377" t="s">
        <v>49</v>
      </c>
      <c r="U377" t="s">
        <v>55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79</v>
      </c>
    </row>
    <row r="378" spans="1:28" x14ac:dyDescent="0.35">
      <c r="A378">
        <v>1376</v>
      </c>
      <c r="B378" t="s">
        <v>65</v>
      </c>
      <c r="C378" t="s">
        <v>29</v>
      </c>
      <c r="D378" t="s">
        <v>66</v>
      </c>
      <c r="E378" t="s">
        <v>67</v>
      </c>
      <c r="F378" t="s">
        <v>32</v>
      </c>
      <c r="G378" s="1">
        <v>46075</v>
      </c>
      <c r="H378" t="s">
        <v>33</v>
      </c>
      <c r="I378" t="s">
        <v>57</v>
      </c>
      <c r="J378" t="s">
        <v>58</v>
      </c>
      <c r="K378" t="s">
        <v>78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37</v>
      </c>
      <c r="T378" t="s">
        <v>49</v>
      </c>
      <c r="U378" t="s">
        <v>74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63</v>
      </c>
    </row>
    <row r="379" spans="1:28" x14ac:dyDescent="0.35">
      <c r="A379">
        <v>1377</v>
      </c>
      <c r="B379" t="s">
        <v>41</v>
      </c>
      <c r="C379" t="s">
        <v>29</v>
      </c>
      <c r="D379" t="s">
        <v>42</v>
      </c>
      <c r="E379" t="s">
        <v>43</v>
      </c>
      <c r="F379" t="s">
        <v>44</v>
      </c>
      <c r="G379" s="1">
        <v>46132</v>
      </c>
      <c r="H379" t="s">
        <v>75</v>
      </c>
      <c r="I379" t="s">
        <v>80</v>
      </c>
      <c r="J379" t="s">
        <v>82</v>
      </c>
      <c r="K379" t="s">
        <v>59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37</v>
      </c>
      <c r="T379" t="s">
        <v>76</v>
      </c>
      <c r="U379" t="s">
        <v>74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63</v>
      </c>
    </row>
    <row r="380" spans="1:28" x14ac:dyDescent="0.35">
      <c r="A380">
        <v>1378</v>
      </c>
      <c r="B380" t="s">
        <v>65</v>
      </c>
      <c r="C380" t="s">
        <v>29</v>
      </c>
      <c r="D380" t="s">
        <v>66</v>
      </c>
      <c r="E380" t="s">
        <v>67</v>
      </c>
      <c r="F380" t="s">
        <v>32</v>
      </c>
      <c r="G380" s="1">
        <v>46195</v>
      </c>
      <c r="H380" t="s">
        <v>68</v>
      </c>
      <c r="I380" t="s">
        <v>80</v>
      </c>
      <c r="J380" t="s">
        <v>81</v>
      </c>
      <c r="K380" t="s">
        <v>36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48</v>
      </c>
      <c r="T380" t="s">
        <v>38</v>
      </c>
      <c r="U380" t="s">
        <v>39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79</v>
      </c>
    </row>
    <row r="381" spans="1:28" x14ac:dyDescent="0.35">
      <c r="A381">
        <v>1379</v>
      </c>
      <c r="B381" t="s">
        <v>65</v>
      </c>
      <c r="C381" t="s">
        <v>29</v>
      </c>
      <c r="D381" t="s">
        <v>66</v>
      </c>
      <c r="E381" t="s">
        <v>67</v>
      </c>
      <c r="F381" t="s">
        <v>32</v>
      </c>
      <c r="G381" s="1">
        <v>46077</v>
      </c>
      <c r="H381" t="s">
        <v>33</v>
      </c>
      <c r="I381" t="s">
        <v>80</v>
      </c>
      <c r="J381" t="s">
        <v>81</v>
      </c>
      <c r="K381" t="s">
        <v>73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64</v>
      </c>
      <c r="T381" t="s">
        <v>49</v>
      </c>
      <c r="U381" t="s">
        <v>39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79</v>
      </c>
    </row>
    <row r="382" spans="1:28" x14ac:dyDescent="0.35">
      <c r="A382">
        <v>1380</v>
      </c>
      <c r="B382" t="s">
        <v>50</v>
      </c>
      <c r="C382" t="s">
        <v>29</v>
      </c>
      <c r="D382" t="s">
        <v>51</v>
      </c>
      <c r="E382" t="s">
        <v>52</v>
      </c>
      <c r="F382" t="s">
        <v>53</v>
      </c>
      <c r="G382" s="1">
        <v>46060</v>
      </c>
      <c r="H382" t="s">
        <v>33</v>
      </c>
      <c r="I382" t="s">
        <v>34</v>
      </c>
      <c r="J382" t="s">
        <v>46</v>
      </c>
      <c r="K382" t="s">
        <v>73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64</v>
      </c>
      <c r="T382" t="s">
        <v>49</v>
      </c>
      <c r="U382" t="s">
        <v>74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56</v>
      </c>
    </row>
    <row r="383" spans="1:28" x14ac:dyDescent="0.35">
      <c r="A383">
        <v>1381</v>
      </c>
      <c r="B383" t="s">
        <v>50</v>
      </c>
      <c r="C383" t="s">
        <v>29</v>
      </c>
      <c r="D383" t="s">
        <v>51</v>
      </c>
      <c r="E383" t="s">
        <v>52</v>
      </c>
      <c r="F383" t="s">
        <v>53</v>
      </c>
      <c r="G383" s="1">
        <v>46069</v>
      </c>
      <c r="H383" t="s">
        <v>33</v>
      </c>
      <c r="I383" t="s">
        <v>34</v>
      </c>
      <c r="J383" t="s">
        <v>77</v>
      </c>
      <c r="K383" t="s">
        <v>73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37</v>
      </c>
      <c r="T383" t="s">
        <v>49</v>
      </c>
      <c r="U383" t="s">
        <v>55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79</v>
      </c>
    </row>
    <row r="384" spans="1:28" x14ac:dyDescent="0.35">
      <c r="A384">
        <v>1382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s="1">
        <v>46155</v>
      </c>
      <c r="H384" t="s">
        <v>54</v>
      </c>
      <c r="I384" t="s">
        <v>57</v>
      </c>
      <c r="J384" t="s">
        <v>58</v>
      </c>
      <c r="K384" t="s">
        <v>47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64</v>
      </c>
      <c r="T384" t="s">
        <v>49</v>
      </c>
      <c r="U384" t="s">
        <v>55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79</v>
      </c>
    </row>
    <row r="385" spans="1:28" x14ac:dyDescent="0.35">
      <c r="A385">
        <v>1383</v>
      </c>
      <c r="B385" t="s">
        <v>41</v>
      </c>
      <c r="C385" t="s">
        <v>29</v>
      </c>
      <c r="D385" t="s">
        <v>42</v>
      </c>
      <c r="E385" t="s">
        <v>43</v>
      </c>
      <c r="F385" t="s">
        <v>44</v>
      </c>
      <c r="G385" s="1">
        <v>46125</v>
      </c>
      <c r="H385" t="s">
        <v>75</v>
      </c>
      <c r="I385" t="s">
        <v>57</v>
      </c>
      <c r="J385" t="s">
        <v>58</v>
      </c>
      <c r="K385" t="s">
        <v>73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48</v>
      </c>
      <c r="T385" t="s">
        <v>49</v>
      </c>
      <c r="U385" t="s">
        <v>55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79</v>
      </c>
    </row>
    <row r="386" spans="1:28" x14ac:dyDescent="0.35">
      <c r="A386">
        <v>1384</v>
      </c>
      <c r="B386" t="s">
        <v>50</v>
      </c>
      <c r="C386" t="s">
        <v>29</v>
      </c>
      <c r="D386" t="s">
        <v>51</v>
      </c>
      <c r="E386" t="s">
        <v>52</v>
      </c>
      <c r="F386" t="s">
        <v>53</v>
      </c>
      <c r="G386" s="1">
        <v>46076</v>
      </c>
      <c r="H386" t="s">
        <v>33</v>
      </c>
      <c r="I386" t="s">
        <v>34</v>
      </c>
      <c r="J386" t="s">
        <v>35</v>
      </c>
      <c r="K386" t="s">
        <v>47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64</v>
      </c>
      <c r="T386" t="s">
        <v>76</v>
      </c>
      <c r="U386" t="s">
        <v>39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56</v>
      </c>
    </row>
    <row r="387" spans="1:28" x14ac:dyDescent="0.35">
      <c r="A387">
        <v>1385</v>
      </c>
      <c r="B387" t="s">
        <v>41</v>
      </c>
      <c r="C387" t="s">
        <v>29</v>
      </c>
      <c r="D387" t="s">
        <v>42</v>
      </c>
      <c r="E387" t="s">
        <v>43</v>
      </c>
      <c r="F387" t="s">
        <v>44</v>
      </c>
      <c r="G387" s="1">
        <v>46090</v>
      </c>
      <c r="H387" t="s">
        <v>71</v>
      </c>
      <c r="I387" t="s">
        <v>57</v>
      </c>
      <c r="J387" t="s">
        <v>58</v>
      </c>
      <c r="K387" t="s">
        <v>36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37</v>
      </c>
      <c r="T387" t="s">
        <v>38</v>
      </c>
      <c r="U387" t="s">
        <v>55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63</v>
      </c>
    </row>
    <row r="388" spans="1:28" x14ac:dyDescent="0.35">
      <c r="A388">
        <v>1386</v>
      </c>
      <c r="B388" t="s">
        <v>65</v>
      </c>
      <c r="C388" t="s">
        <v>29</v>
      </c>
      <c r="D388" t="s">
        <v>66</v>
      </c>
      <c r="E388" t="s">
        <v>67</v>
      </c>
      <c r="F388" t="s">
        <v>32</v>
      </c>
      <c r="G388" s="1">
        <v>46090</v>
      </c>
      <c r="H388" t="s">
        <v>71</v>
      </c>
      <c r="I388" t="s">
        <v>69</v>
      </c>
      <c r="J388" t="s">
        <v>72</v>
      </c>
      <c r="K388" t="s">
        <v>59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64</v>
      </c>
      <c r="T388" t="s">
        <v>38</v>
      </c>
      <c r="U388" t="s">
        <v>55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56</v>
      </c>
    </row>
    <row r="389" spans="1:28" x14ac:dyDescent="0.35">
      <c r="A389">
        <v>1387</v>
      </c>
      <c r="B389" t="s">
        <v>60</v>
      </c>
      <c r="C389" t="s">
        <v>29</v>
      </c>
      <c r="D389" t="s">
        <v>61</v>
      </c>
      <c r="E389" t="s">
        <v>62</v>
      </c>
      <c r="F389" t="s">
        <v>32</v>
      </c>
      <c r="G389" s="1">
        <v>46057</v>
      </c>
      <c r="H389" t="s">
        <v>33</v>
      </c>
      <c r="I389" t="s">
        <v>34</v>
      </c>
      <c r="J389" t="s">
        <v>77</v>
      </c>
      <c r="K389" t="s">
        <v>73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37</v>
      </c>
      <c r="T389" t="s">
        <v>76</v>
      </c>
      <c r="U389" t="s">
        <v>39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56</v>
      </c>
    </row>
    <row r="390" spans="1:28" x14ac:dyDescent="0.35">
      <c r="A390">
        <v>1388</v>
      </c>
      <c r="B390" t="s">
        <v>65</v>
      </c>
      <c r="C390" t="s">
        <v>29</v>
      </c>
      <c r="D390" t="s">
        <v>66</v>
      </c>
      <c r="E390" t="s">
        <v>67</v>
      </c>
      <c r="F390" t="s">
        <v>32</v>
      </c>
      <c r="G390" s="1">
        <v>46117</v>
      </c>
      <c r="H390" t="s">
        <v>75</v>
      </c>
      <c r="I390" t="s">
        <v>80</v>
      </c>
      <c r="J390" t="s">
        <v>81</v>
      </c>
      <c r="K390" t="s">
        <v>36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64</v>
      </c>
      <c r="T390" t="s">
        <v>76</v>
      </c>
      <c r="U390" t="s">
        <v>55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40</v>
      </c>
    </row>
    <row r="391" spans="1:28" x14ac:dyDescent="0.35">
      <c r="A391">
        <v>1389</v>
      </c>
      <c r="B391" t="s">
        <v>41</v>
      </c>
      <c r="C391" t="s">
        <v>29</v>
      </c>
      <c r="D391" t="s">
        <v>42</v>
      </c>
      <c r="E391" t="s">
        <v>43</v>
      </c>
      <c r="F391" t="s">
        <v>44</v>
      </c>
      <c r="G391" s="1">
        <v>46076</v>
      </c>
      <c r="H391" t="s">
        <v>33</v>
      </c>
      <c r="I391" t="s">
        <v>57</v>
      </c>
      <c r="J391" t="s">
        <v>83</v>
      </c>
      <c r="K391" t="s">
        <v>73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37</v>
      </c>
      <c r="T391" t="s">
        <v>38</v>
      </c>
      <c r="U391" t="s">
        <v>55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40</v>
      </c>
    </row>
    <row r="392" spans="1:28" x14ac:dyDescent="0.35">
      <c r="A392">
        <v>1390</v>
      </c>
      <c r="B392" t="s">
        <v>65</v>
      </c>
      <c r="C392" t="s">
        <v>29</v>
      </c>
      <c r="D392" t="s">
        <v>66</v>
      </c>
      <c r="E392" t="s">
        <v>67</v>
      </c>
      <c r="F392" t="s">
        <v>32</v>
      </c>
      <c r="G392" s="1">
        <v>46118</v>
      </c>
      <c r="H392" t="s">
        <v>75</v>
      </c>
      <c r="I392" t="s">
        <v>69</v>
      </c>
      <c r="J392" t="s">
        <v>72</v>
      </c>
      <c r="K392" t="s">
        <v>78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64</v>
      </c>
      <c r="T392" t="s">
        <v>38</v>
      </c>
      <c r="U392" t="s">
        <v>39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56</v>
      </c>
    </row>
    <row r="393" spans="1:28" x14ac:dyDescent="0.35">
      <c r="A393">
        <v>1391</v>
      </c>
      <c r="B393" t="s">
        <v>50</v>
      </c>
      <c r="C393" t="s">
        <v>29</v>
      </c>
      <c r="D393" t="s">
        <v>51</v>
      </c>
      <c r="E393" t="s">
        <v>52</v>
      </c>
      <c r="F393" t="s">
        <v>53</v>
      </c>
      <c r="G393" s="1">
        <v>46200</v>
      </c>
      <c r="H393" t="s">
        <v>68</v>
      </c>
      <c r="I393" t="s">
        <v>69</v>
      </c>
      <c r="J393" t="s">
        <v>70</v>
      </c>
      <c r="K393" t="s">
        <v>47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37</v>
      </c>
      <c r="T393" t="s">
        <v>49</v>
      </c>
      <c r="U393" t="s">
        <v>39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79</v>
      </c>
    </row>
    <row r="394" spans="1:28" x14ac:dyDescent="0.35">
      <c r="A394">
        <v>1392</v>
      </c>
      <c r="B394" t="s">
        <v>65</v>
      </c>
      <c r="C394" t="s">
        <v>29</v>
      </c>
      <c r="D394" t="s">
        <v>66</v>
      </c>
      <c r="E394" t="s">
        <v>67</v>
      </c>
      <c r="F394" t="s">
        <v>32</v>
      </c>
      <c r="G394" s="1">
        <v>46195</v>
      </c>
      <c r="H394" t="s">
        <v>68</v>
      </c>
      <c r="I394" t="s">
        <v>34</v>
      </c>
      <c r="J394" t="s">
        <v>35</v>
      </c>
      <c r="K394" t="s">
        <v>73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48</v>
      </c>
      <c r="T394" t="s">
        <v>76</v>
      </c>
      <c r="U394" t="s">
        <v>39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56</v>
      </c>
    </row>
    <row r="395" spans="1:28" x14ac:dyDescent="0.35">
      <c r="A395">
        <v>1393</v>
      </c>
      <c r="B395" t="s">
        <v>50</v>
      </c>
      <c r="C395" t="s">
        <v>29</v>
      </c>
      <c r="D395" t="s">
        <v>51</v>
      </c>
      <c r="E395" t="s">
        <v>52</v>
      </c>
      <c r="F395" t="s">
        <v>53</v>
      </c>
      <c r="G395" s="1">
        <v>46102</v>
      </c>
      <c r="H395" t="s">
        <v>71</v>
      </c>
      <c r="I395" t="s">
        <v>34</v>
      </c>
      <c r="J395" t="s">
        <v>46</v>
      </c>
      <c r="K395" t="s">
        <v>78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64</v>
      </c>
      <c r="T395" t="s">
        <v>38</v>
      </c>
      <c r="U395" t="s">
        <v>39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63</v>
      </c>
    </row>
    <row r="396" spans="1:28" x14ac:dyDescent="0.35">
      <c r="A396">
        <v>1394</v>
      </c>
      <c r="B396" t="s">
        <v>60</v>
      </c>
      <c r="C396" t="s">
        <v>29</v>
      </c>
      <c r="D396" t="s">
        <v>61</v>
      </c>
      <c r="E396" t="s">
        <v>62</v>
      </c>
      <c r="F396" t="s">
        <v>32</v>
      </c>
      <c r="G396" s="1">
        <v>46101</v>
      </c>
      <c r="H396" t="s">
        <v>71</v>
      </c>
      <c r="I396" t="s">
        <v>69</v>
      </c>
      <c r="J396" t="s">
        <v>70</v>
      </c>
      <c r="K396" t="s">
        <v>36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48</v>
      </c>
      <c r="T396" t="s">
        <v>76</v>
      </c>
      <c r="U396" t="s">
        <v>55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79</v>
      </c>
    </row>
    <row r="397" spans="1:28" x14ac:dyDescent="0.35">
      <c r="A397">
        <v>1395</v>
      </c>
      <c r="B397" t="s">
        <v>50</v>
      </c>
      <c r="C397" t="s">
        <v>29</v>
      </c>
      <c r="D397" t="s">
        <v>51</v>
      </c>
      <c r="E397" t="s">
        <v>52</v>
      </c>
      <c r="F397" t="s">
        <v>53</v>
      </c>
      <c r="G397" s="1">
        <v>46043</v>
      </c>
      <c r="H397" t="s">
        <v>45</v>
      </c>
      <c r="I397" t="s">
        <v>57</v>
      </c>
      <c r="J397" t="s">
        <v>83</v>
      </c>
      <c r="K397" t="s">
        <v>73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48</v>
      </c>
      <c r="T397" t="s">
        <v>38</v>
      </c>
      <c r="U397" t="s">
        <v>74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63</v>
      </c>
    </row>
    <row r="398" spans="1:28" x14ac:dyDescent="0.35">
      <c r="A398">
        <v>1396</v>
      </c>
      <c r="B398" t="s">
        <v>60</v>
      </c>
      <c r="C398" t="s">
        <v>29</v>
      </c>
      <c r="D398" t="s">
        <v>61</v>
      </c>
      <c r="E398" t="s">
        <v>62</v>
      </c>
      <c r="F398" t="s">
        <v>32</v>
      </c>
      <c r="G398" s="1">
        <v>46068</v>
      </c>
      <c r="H398" t="s">
        <v>33</v>
      </c>
      <c r="I398" t="s">
        <v>69</v>
      </c>
      <c r="J398" t="s">
        <v>72</v>
      </c>
      <c r="K398" t="s">
        <v>36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64</v>
      </c>
      <c r="T398" t="s">
        <v>76</v>
      </c>
      <c r="U398" t="s">
        <v>55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56</v>
      </c>
    </row>
    <row r="399" spans="1:28" x14ac:dyDescent="0.35">
      <c r="A399">
        <v>1397</v>
      </c>
      <c r="B399" t="s">
        <v>50</v>
      </c>
      <c r="C399" t="s">
        <v>29</v>
      </c>
      <c r="D399" t="s">
        <v>51</v>
      </c>
      <c r="E399" t="s">
        <v>52</v>
      </c>
      <c r="F399" t="s">
        <v>53</v>
      </c>
      <c r="G399" s="1">
        <v>46169</v>
      </c>
      <c r="H399" t="s">
        <v>54</v>
      </c>
      <c r="I399" t="s">
        <v>69</v>
      </c>
      <c r="J399" t="s">
        <v>70</v>
      </c>
      <c r="K399" t="s">
        <v>36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37</v>
      </c>
      <c r="T399" t="s">
        <v>38</v>
      </c>
      <c r="U399" t="s">
        <v>74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79</v>
      </c>
    </row>
    <row r="400" spans="1:28" x14ac:dyDescent="0.35">
      <c r="A400">
        <v>1398</v>
      </c>
      <c r="B400" t="s">
        <v>65</v>
      </c>
      <c r="C400" t="s">
        <v>29</v>
      </c>
      <c r="D400" t="s">
        <v>66</v>
      </c>
      <c r="E400" t="s">
        <v>67</v>
      </c>
      <c r="F400" t="s">
        <v>32</v>
      </c>
      <c r="G400" s="1">
        <v>46069</v>
      </c>
      <c r="H400" t="s">
        <v>33</v>
      </c>
      <c r="I400" t="s">
        <v>69</v>
      </c>
      <c r="J400" t="s">
        <v>72</v>
      </c>
      <c r="K400" t="s">
        <v>73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48</v>
      </c>
      <c r="T400" t="s">
        <v>49</v>
      </c>
      <c r="U400" t="s">
        <v>74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56</v>
      </c>
    </row>
    <row r="401" spans="1:28" x14ac:dyDescent="0.35">
      <c r="A401">
        <v>1399</v>
      </c>
      <c r="B401" t="s">
        <v>50</v>
      </c>
      <c r="C401" t="s">
        <v>29</v>
      </c>
      <c r="D401" t="s">
        <v>51</v>
      </c>
      <c r="E401" t="s">
        <v>52</v>
      </c>
      <c r="F401" t="s">
        <v>53</v>
      </c>
      <c r="G401" s="1">
        <v>46201</v>
      </c>
      <c r="H401" t="s">
        <v>68</v>
      </c>
      <c r="I401" t="s">
        <v>34</v>
      </c>
      <c r="J401" t="s">
        <v>46</v>
      </c>
      <c r="K401" t="s">
        <v>73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64</v>
      </c>
      <c r="T401" t="s">
        <v>76</v>
      </c>
      <c r="U401" t="s">
        <v>74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63</v>
      </c>
    </row>
    <row r="402" spans="1:28" x14ac:dyDescent="0.35">
      <c r="A402">
        <v>1400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s="1">
        <v>46196</v>
      </c>
      <c r="H402" t="s">
        <v>68</v>
      </c>
      <c r="I402" t="s">
        <v>34</v>
      </c>
      <c r="J402" t="s">
        <v>46</v>
      </c>
      <c r="K402" t="s">
        <v>78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37</v>
      </c>
      <c r="T402" t="s">
        <v>76</v>
      </c>
      <c r="U402" t="s">
        <v>74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79</v>
      </c>
    </row>
    <row r="403" spans="1:28" x14ac:dyDescent="0.35">
      <c r="A403">
        <v>1401</v>
      </c>
      <c r="B403" t="s">
        <v>60</v>
      </c>
      <c r="C403" t="s">
        <v>29</v>
      </c>
      <c r="D403" t="s">
        <v>61</v>
      </c>
      <c r="E403" t="s">
        <v>62</v>
      </c>
      <c r="F403" t="s">
        <v>32</v>
      </c>
      <c r="G403" s="1">
        <v>46119</v>
      </c>
      <c r="H403" t="s">
        <v>75</v>
      </c>
      <c r="I403" t="s">
        <v>69</v>
      </c>
      <c r="J403" t="s">
        <v>72</v>
      </c>
      <c r="K403" t="s">
        <v>36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37</v>
      </c>
      <c r="T403" t="s">
        <v>49</v>
      </c>
      <c r="U403" t="s">
        <v>39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79</v>
      </c>
    </row>
    <row r="404" spans="1:28" x14ac:dyDescent="0.35">
      <c r="A404">
        <v>1402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s="1">
        <v>46156</v>
      </c>
      <c r="H404" t="s">
        <v>54</v>
      </c>
      <c r="I404" t="s">
        <v>57</v>
      </c>
      <c r="J404" t="s">
        <v>58</v>
      </c>
      <c r="K404" t="s">
        <v>47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37</v>
      </c>
      <c r="T404" t="s">
        <v>76</v>
      </c>
      <c r="U404" t="s">
        <v>39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40</v>
      </c>
    </row>
    <row r="405" spans="1:28" x14ac:dyDescent="0.35">
      <c r="A405">
        <v>1403</v>
      </c>
      <c r="B405" t="s">
        <v>65</v>
      </c>
      <c r="C405" t="s">
        <v>29</v>
      </c>
      <c r="D405" t="s">
        <v>66</v>
      </c>
      <c r="E405" t="s">
        <v>67</v>
      </c>
      <c r="F405" t="s">
        <v>32</v>
      </c>
      <c r="G405" s="1">
        <v>46147</v>
      </c>
      <c r="H405" t="s">
        <v>54</v>
      </c>
      <c r="I405" t="s">
        <v>80</v>
      </c>
      <c r="J405" t="s">
        <v>82</v>
      </c>
      <c r="K405" t="s">
        <v>36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64</v>
      </c>
      <c r="T405" t="s">
        <v>76</v>
      </c>
      <c r="U405" t="s">
        <v>39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63</v>
      </c>
    </row>
    <row r="406" spans="1:28" x14ac:dyDescent="0.35">
      <c r="A406">
        <v>1404</v>
      </c>
      <c r="B406" t="s">
        <v>65</v>
      </c>
      <c r="C406" t="s">
        <v>29</v>
      </c>
      <c r="D406" t="s">
        <v>66</v>
      </c>
      <c r="E406" t="s">
        <v>67</v>
      </c>
      <c r="F406" t="s">
        <v>32</v>
      </c>
      <c r="G406" s="1">
        <v>46034</v>
      </c>
      <c r="H406" t="s">
        <v>45</v>
      </c>
      <c r="I406" t="s">
        <v>34</v>
      </c>
      <c r="J406" t="s">
        <v>46</v>
      </c>
      <c r="K406" t="s">
        <v>59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64</v>
      </c>
      <c r="T406" t="s">
        <v>76</v>
      </c>
      <c r="U406" t="s">
        <v>74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63</v>
      </c>
    </row>
    <row r="407" spans="1:28" x14ac:dyDescent="0.35">
      <c r="A407">
        <v>1405</v>
      </c>
      <c r="B407" t="s">
        <v>41</v>
      </c>
      <c r="C407" t="s">
        <v>29</v>
      </c>
      <c r="D407" t="s">
        <v>42</v>
      </c>
      <c r="E407" t="s">
        <v>43</v>
      </c>
      <c r="F407" t="s">
        <v>44</v>
      </c>
      <c r="G407" s="1">
        <v>46093</v>
      </c>
      <c r="H407" t="s">
        <v>71</v>
      </c>
      <c r="I407" t="s">
        <v>80</v>
      </c>
      <c r="J407" t="s">
        <v>82</v>
      </c>
      <c r="K407" t="s">
        <v>59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48</v>
      </c>
      <c r="T407" t="s">
        <v>76</v>
      </c>
      <c r="U407" t="s">
        <v>74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56</v>
      </c>
    </row>
    <row r="408" spans="1:28" x14ac:dyDescent="0.35">
      <c r="A408">
        <v>1406</v>
      </c>
      <c r="B408" t="s">
        <v>41</v>
      </c>
      <c r="C408" t="s">
        <v>29</v>
      </c>
      <c r="D408" t="s">
        <v>42</v>
      </c>
      <c r="E408" t="s">
        <v>43</v>
      </c>
      <c r="F408" t="s">
        <v>44</v>
      </c>
      <c r="G408" s="1">
        <v>46072</v>
      </c>
      <c r="H408" t="s">
        <v>33</v>
      </c>
      <c r="I408" t="s">
        <v>34</v>
      </c>
      <c r="J408" t="s">
        <v>46</v>
      </c>
      <c r="K408" t="s">
        <v>78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37</v>
      </c>
      <c r="T408" t="s">
        <v>49</v>
      </c>
      <c r="U408" t="s">
        <v>39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56</v>
      </c>
    </row>
    <row r="409" spans="1:28" x14ac:dyDescent="0.35">
      <c r="A409">
        <v>1407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s="1">
        <v>46031</v>
      </c>
      <c r="H409" t="s">
        <v>45</v>
      </c>
      <c r="I409" t="s">
        <v>57</v>
      </c>
      <c r="J409" t="s">
        <v>83</v>
      </c>
      <c r="K409" t="s">
        <v>59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48</v>
      </c>
      <c r="T409" t="s">
        <v>76</v>
      </c>
      <c r="U409" t="s">
        <v>74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79</v>
      </c>
    </row>
    <row r="410" spans="1:28" x14ac:dyDescent="0.35">
      <c r="A410">
        <v>1408</v>
      </c>
      <c r="B410" t="s">
        <v>50</v>
      </c>
      <c r="C410" t="s">
        <v>29</v>
      </c>
      <c r="D410" t="s">
        <v>51</v>
      </c>
      <c r="E410" t="s">
        <v>52</v>
      </c>
      <c r="F410" t="s">
        <v>53</v>
      </c>
      <c r="G410" s="1">
        <v>46044</v>
      </c>
      <c r="H410" t="s">
        <v>45</v>
      </c>
      <c r="I410" t="s">
        <v>69</v>
      </c>
      <c r="J410" t="s">
        <v>70</v>
      </c>
      <c r="K410" t="s">
        <v>36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48</v>
      </c>
      <c r="T410" t="s">
        <v>49</v>
      </c>
      <c r="U410" t="s">
        <v>39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63</v>
      </c>
    </row>
    <row r="411" spans="1:28" x14ac:dyDescent="0.35">
      <c r="A411">
        <v>1409</v>
      </c>
      <c r="B411" t="s">
        <v>41</v>
      </c>
      <c r="C411" t="s">
        <v>29</v>
      </c>
      <c r="D411" t="s">
        <v>42</v>
      </c>
      <c r="E411" t="s">
        <v>43</v>
      </c>
      <c r="F411" t="s">
        <v>44</v>
      </c>
      <c r="G411" s="1">
        <v>46096</v>
      </c>
      <c r="H411" t="s">
        <v>71</v>
      </c>
      <c r="I411" t="s">
        <v>80</v>
      </c>
      <c r="J411" t="s">
        <v>81</v>
      </c>
      <c r="K411" t="s">
        <v>73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37</v>
      </c>
      <c r="T411" t="s">
        <v>49</v>
      </c>
      <c r="U411" t="s">
        <v>74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40</v>
      </c>
    </row>
    <row r="412" spans="1:28" x14ac:dyDescent="0.35">
      <c r="A412">
        <v>1410</v>
      </c>
      <c r="B412" t="s">
        <v>60</v>
      </c>
      <c r="C412" t="s">
        <v>29</v>
      </c>
      <c r="D412" t="s">
        <v>61</v>
      </c>
      <c r="E412" t="s">
        <v>62</v>
      </c>
      <c r="F412" t="s">
        <v>32</v>
      </c>
      <c r="G412" s="1">
        <v>46179</v>
      </c>
      <c r="H412" t="s">
        <v>68</v>
      </c>
      <c r="I412" t="s">
        <v>57</v>
      </c>
      <c r="J412" t="s">
        <v>83</v>
      </c>
      <c r="K412" t="s">
        <v>73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64</v>
      </c>
      <c r="T412" t="s">
        <v>38</v>
      </c>
      <c r="U412" t="s">
        <v>39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56</v>
      </c>
    </row>
    <row r="413" spans="1:28" x14ac:dyDescent="0.35">
      <c r="A413">
        <v>1411</v>
      </c>
      <c r="B413" t="s">
        <v>65</v>
      </c>
      <c r="C413" t="s">
        <v>29</v>
      </c>
      <c r="D413" t="s">
        <v>66</v>
      </c>
      <c r="E413" t="s">
        <v>67</v>
      </c>
      <c r="F413" t="s">
        <v>32</v>
      </c>
      <c r="G413" s="1">
        <v>46093</v>
      </c>
      <c r="H413" t="s">
        <v>71</v>
      </c>
      <c r="I413" t="s">
        <v>57</v>
      </c>
      <c r="J413" t="s">
        <v>58</v>
      </c>
      <c r="K413" t="s">
        <v>73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37</v>
      </c>
      <c r="T413" t="s">
        <v>38</v>
      </c>
      <c r="U413" t="s">
        <v>74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56</v>
      </c>
    </row>
    <row r="414" spans="1:28" x14ac:dyDescent="0.35">
      <c r="A414">
        <v>1412</v>
      </c>
      <c r="B414" t="s">
        <v>65</v>
      </c>
      <c r="C414" t="s">
        <v>29</v>
      </c>
      <c r="D414" t="s">
        <v>66</v>
      </c>
      <c r="E414" t="s">
        <v>67</v>
      </c>
      <c r="F414" t="s">
        <v>32</v>
      </c>
      <c r="G414" s="1">
        <v>46024</v>
      </c>
      <c r="H414" t="s">
        <v>45</v>
      </c>
      <c r="I414" t="s">
        <v>69</v>
      </c>
      <c r="J414" t="s">
        <v>70</v>
      </c>
      <c r="K414" t="s">
        <v>78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37</v>
      </c>
      <c r="T414" t="s">
        <v>38</v>
      </c>
      <c r="U414" t="s">
        <v>39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40</v>
      </c>
    </row>
    <row r="415" spans="1:28" x14ac:dyDescent="0.35">
      <c r="A415">
        <v>1413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s="1">
        <v>46120</v>
      </c>
      <c r="H415" t="s">
        <v>75</v>
      </c>
      <c r="I415" t="s">
        <v>34</v>
      </c>
      <c r="J415" t="s">
        <v>77</v>
      </c>
      <c r="K415" t="s">
        <v>78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37</v>
      </c>
      <c r="T415" t="s">
        <v>38</v>
      </c>
      <c r="U415" t="s">
        <v>39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63</v>
      </c>
    </row>
    <row r="416" spans="1:28" x14ac:dyDescent="0.35">
      <c r="A416">
        <v>1414</v>
      </c>
      <c r="B416" t="s">
        <v>50</v>
      </c>
      <c r="C416" t="s">
        <v>29</v>
      </c>
      <c r="D416" t="s">
        <v>51</v>
      </c>
      <c r="E416" t="s">
        <v>52</v>
      </c>
      <c r="F416" t="s">
        <v>53</v>
      </c>
      <c r="G416" s="1">
        <v>46079</v>
      </c>
      <c r="H416" t="s">
        <v>33</v>
      </c>
      <c r="I416" t="s">
        <v>34</v>
      </c>
      <c r="J416" t="s">
        <v>77</v>
      </c>
      <c r="K416" t="s">
        <v>73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37</v>
      </c>
      <c r="T416" t="s">
        <v>49</v>
      </c>
      <c r="U416" t="s">
        <v>74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79</v>
      </c>
    </row>
    <row r="417" spans="1:28" x14ac:dyDescent="0.35">
      <c r="A417">
        <v>1415</v>
      </c>
      <c r="B417" t="s">
        <v>41</v>
      </c>
      <c r="C417" t="s">
        <v>29</v>
      </c>
      <c r="D417" t="s">
        <v>42</v>
      </c>
      <c r="E417" t="s">
        <v>43</v>
      </c>
      <c r="F417" t="s">
        <v>44</v>
      </c>
      <c r="G417" s="1">
        <v>46105</v>
      </c>
      <c r="H417" t="s">
        <v>71</v>
      </c>
      <c r="I417" t="s">
        <v>57</v>
      </c>
      <c r="J417" t="s">
        <v>58</v>
      </c>
      <c r="K417" t="s">
        <v>47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37</v>
      </c>
      <c r="T417" t="s">
        <v>49</v>
      </c>
      <c r="U417" t="s">
        <v>55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63</v>
      </c>
    </row>
    <row r="418" spans="1:28" x14ac:dyDescent="0.35">
      <c r="A418">
        <v>1416</v>
      </c>
      <c r="B418" t="s">
        <v>41</v>
      </c>
      <c r="C418" t="s">
        <v>29</v>
      </c>
      <c r="D418" t="s">
        <v>42</v>
      </c>
      <c r="E418" t="s">
        <v>43</v>
      </c>
      <c r="F418" t="s">
        <v>44</v>
      </c>
      <c r="G418" s="1">
        <v>46039</v>
      </c>
      <c r="H418" t="s">
        <v>45</v>
      </c>
      <c r="I418" t="s">
        <v>34</v>
      </c>
      <c r="J418" t="s">
        <v>35</v>
      </c>
      <c r="K418" t="s">
        <v>36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37</v>
      </c>
      <c r="T418" t="s">
        <v>76</v>
      </c>
      <c r="U418" t="s">
        <v>39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79</v>
      </c>
    </row>
    <row r="419" spans="1:28" x14ac:dyDescent="0.35">
      <c r="A419">
        <v>1417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s="1">
        <v>46100</v>
      </c>
      <c r="H419" t="s">
        <v>71</v>
      </c>
      <c r="I419" t="s">
        <v>69</v>
      </c>
      <c r="J419" t="s">
        <v>72</v>
      </c>
      <c r="K419" t="s">
        <v>36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37</v>
      </c>
      <c r="T419" t="s">
        <v>38</v>
      </c>
      <c r="U419" t="s">
        <v>55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63</v>
      </c>
    </row>
    <row r="420" spans="1:28" x14ac:dyDescent="0.35">
      <c r="A420">
        <v>1418</v>
      </c>
      <c r="B420" t="s">
        <v>65</v>
      </c>
      <c r="C420" t="s">
        <v>29</v>
      </c>
      <c r="D420" t="s">
        <v>66</v>
      </c>
      <c r="E420" t="s">
        <v>67</v>
      </c>
      <c r="F420" t="s">
        <v>32</v>
      </c>
      <c r="G420" s="1">
        <v>46115</v>
      </c>
      <c r="H420" t="s">
        <v>75</v>
      </c>
      <c r="I420" t="s">
        <v>69</v>
      </c>
      <c r="J420" t="s">
        <v>70</v>
      </c>
      <c r="K420" t="s">
        <v>78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37</v>
      </c>
      <c r="T420" t="s">
        <v>38</v>
      </c>
      <c r="U420" t="s">
        <v>55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40</v>
      </c>
    </row>
    <row r="421" spans="1:28" x14ac:dyDescent="0.35">
      <c r="A421">
        <v>1419</v>
      </c>
      <c r="B421" t="s">
        <v>50</v>
      </c>
      <c r="C421" t="s">
        <v>29</v>
      </c>
      <c r="D421" t="s">
        <v>51</v>
      </c>
      <c r="E421" t="s">
        <v>52</v>
      </c>
      <c r="F421" t="s">
        <v>53</v>
      </c>
      <c r="G421" s="1">
        <v>46182</v>
      </c>
      <c r="H421" t="s">
        <v>68</v>
      </c>
      <c r="I421" t="s">
        <v>69</v>
      </c>
      <c r="J421" t="s">
        <v>70</v>
      </c>
      <c r="K421" t="s">
        <v>36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37</v>
      </c>
      <c r="T421" t="s">
        <v>38</v>
      </c>
      <c r="U421" t="s">
        <v>39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63</v>
      </c>
    </row>
    <row r="422" spans="1:28" x14ac:dyDescent="0.35">
      <c r="A422">
        <v>1420</v>
      </c>
      <c r="B422" t="s">
        <v>50</v>
      </c>
      <c r="C422" t="s">
        <v>29</v>
      </c>
      <c r="D422" t="s">
        <v>51</v>
      </c>
      <c r="E422" t="s">
        <v>52</v>
      </c>
      <c r="F422" t="s">
        <v>53</v>
      </c>
      <c r="G422" s="1">
        <v>46116</v>
      </c>
      <c r="H422" t="s">
        <v>75</v>
      </c>
      <c r="I422" t="s">
        <v>34</v>
      </c>
      <c r="J422" t="s">
        <v>46</v>
      </c>
      <c r="K422" t="s">
        <v>78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64</v>
      </c>
      <c r="T422" t="s">
        <v>38</v>
      </c>
      <c r="U422" t="s">
        <v>55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63</v>
      </c>
    </row>
    <row r="423" spans="1:28" x14ac:dyDescent="0.35">
      <c r="A423">
        <v>1421</v>
      </c>
      <c r="B423" t="s">
        <v>60</v>
      </c>
      <c r="C423" t="s">
        <v>29</v>
      </c>
      <c r="D423" t="s">
        <v>61</v>
      </c>
      <c r="E423" t="s">
        <v>62</v>
      </c>
      <c r="F423" t="s">
        <v>32</v>
      </c>
      <c r="G423" s="1">
        <v>46150</v>
      </c>
      <c r="H423" t="s">
        <v>54</v>
      </c>
      <c r="I423" t="s">
        <v>69</v>
      </c>
      <c r="J423" t="s">
        <v>70</v>
      </c>
      <c r="K423" t="s">
        <v>36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48</v>
      </c>
      <c r="T423" t="s">
        <v>38</v>
      </c>
      <c r="U423" t="s">
        <v>74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40</v>
      </c>
    </row>
    <row r="424" spans="1:28" x14ac:dyDescent="0.35">
      <c r="A424">
        <v>1422</v>
      </c>
      <c r="B424" t="s">
        <v>60</v>
      </c>
      <c r="C424" t="s">
        <v>29</v>
      </c>
      <c r="D424" t="s">
        <v>61</v>
      </c>
      <c r="E424" t="s">
        <v>62</v>
      </c>
      <c r="F424" t="s">
        <v>32</v>
      </c>
      <c r="G424" s="1">
        <v>46154</v>
      </c>
      <c r="H424" t="s">
        <v>54</v>
      </c>
      <c r="I424" t="s">
        <v>80</v>
      </c>
      <c r="J424" t="s">
        <v>81</v>
      </c>
      <c r="K424" t="s">
        <v>36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37</v>
      </c>
      <c r="T424" t="s">
        <v>49</v>
      </c>
      <c r="U424" t="s">
        <v>55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63</v>
      </c>
    </row>
    <row r="425" spans="1:28" x14ac:dyDescent="0.35">
      <c r="A425">
        <v>1423</v>
      </c>
      <c r="B425" t="s">
        <v>60</v>
      </c>
      <c r="C425" t="s">
        <v>29</v>
      </c>
      <c r="D425" t="s">
        <v>61</v>
      </c>
      <c r="E425" t="s">
        <v>62</v>
      </c>
      <c r="F425" t="s">
        <v>32</v>
      </c>
      <c r="G425" s="1">
        <v>46146</v>
      </c>
      <c r="H425" t="s">
        <v>54</v>
      </c>
      <c r="I425" t="s">
        <v>57</v>
      </c>
      <c r="J425" t="s">
        <v>58</v>
      </c>
      <c r="K425" t="s">
        <v>73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48</v>
      </c>
      <c r="T425" t="s">
        <v>49</v>
      </c>
      <c r="U425" t="s">
        <v>55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79</v>
      </c>
    </row>
    <row r="426" spans="1:28" x14ac:dyDescent="0.35">
      <c r="A426">
        <v>1424</v>
      </c>
      <c r="B426" t="s">
        <v>60</v>
      </c>
      <c r="C426" t="s">
        <v>29</v>
      </c>
      <c r="D426" t="s">
        <v>61</v>
      </c>
      <c r="E426" t="s">
        <v>62</v>
      </c>
      <c r="F426" t="s">
        <v>32</v>
      </c>
      <c r="G426" s="1">
        <v>46039</v>
      </c>
      <c r="H426" t="s">
        <v>45</v>
      </c>
      <c r="I426" t="s">
        <v>34</v>
      </c>
      <c r="J426" t="s">
        <v>46</v>
      </c>
      <c r="K426" t="s">
        <v>73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37</v>
      </c>
      <c r="T426" t="s">
        <v>76</v>
      </c>
      <c r="U426" t="s">
        <v>55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63</v>
      </c>
    </row>
    <row r="427" spans="1:28" x14ac:dyDescent="0.35">
      <c r="A427">
        <v>1425</v>
      </c>
      <c r="B427" t="s">
        <v>60</v>
      </c>
      <c r="C427" t="s">
        <v>29</v>
      </c>
      <c r="D427" t="s">
        <v>61</v>
      </c>
      <c r="E427" t="s">
        <v>62</v>
      </c>
      <c r="F427" t="s">
        <v>32</v>
      </c>
      <c r="G427" s="1">
        <v>46194</v>
      </c>
      <c r="H427" t="s">
        <v>68</v>
      </c>
      <c r="I427" t="s">
        <v>57</v>
      </c>
      <c r="J427" t="s">
        <v>58</v>
      </c>
      <c r="K427" t="s">
        <v>36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64</v>
      </c>
      <c r="T427" t="s">
        <v>49</v>
      </c>
      <c r="U427" t="s">
        <v>39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40</v>
      </c>
    </row>
    <row r="428" spans="1:28" x14ac:dyDescent="0.35">
      <c r="A428">
        <v>1426</v>
      </c>
      <c r="B428" t="s">
        <v>41</v>
      </c>
      <c r="C428" t="s">
        <v>29</v>
      </c>
      <c r="D428" t="s">
        <v>42</v>
      </c>
      <c r="E428" t="s">
        <v>43</v>
      </c>
      <c r="F428" t="s">
        <v>44</v>
      </c>
      <c r="G428" s="1">
        <v>46201</v>
      </c>
      <c r="H428" t="s">
        <v>68</v>
      </c>
      <c r="I428" t="s">
        <v>69</v>
      </c>
      <c r="J428" t="s">
        <v>70</v>
      </c>
      <c r="K428" t="s">
        <v>59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37</v>
      </c>
      <c r="T428" t="s">
        <v>49</v>
      </c>
      <c r="U428" t="s">
        <v>55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56</v>
      </c>
    </row>
    <row r="429" spans="1:28" x14ac:dyDescent="0.35">
      <c r="A429">
        <v>1427</v>
      </c>
      <c r="B429" t="s">
        <v>50</v>
      </c>
      <c r="C429" t="s">
        <v>29</v>
      </c>
      <c r="D429" t="s">
        <v>51</v>
      </c>
      <c r="E429" t="s">
        <v>52</v>
      </c>
      <c r="F429" t="s">
        <v>53</v>
      </c>
      <c r="G429" s="1">
        <v>46033</v>
      </c>
      <c r="H429" t="s">
        <v>45</v>
      </c>
      <c r="I429" t="s">
        <v>57</v>
      </c>
      <c r="J429" t="s">
        <v>83</v>
      </c>
      <c r="K429" t="s">
        <v>36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64</v>
      </c>
      <c r="T429" t="s">
        <v>76</v>
      </c>
      <c r="U429" t="s">
        <v>55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63</v>
      </c>
    </row>
    <row r="430" spans="1:28" x14ac:dyDescent="0.35">
      <c r="A430">
        <v>1428</v>
      </c>
      <c r="B430" t="s">
        <v>50</v>
      </c>
      <c r="C430" t="s">
        <v>29</v>
      </c>
      <c r="D430" t="s">
        <v>51</v>
      </c>
      <c r="E430" t="s">
        <v>52</v>
      </c>
      <c r="F430" t="s">
        <v>53</v>
      </c>
      <c r="G430" s="1">
        <v>46047</v>
      </c>
      <c r="H430" t="s">
        <v>45</v>
      </c>
      <c r="I430" t="s">
        <v>80</v>
      </c>
      <c r="J430" t="s">
        <v>82</v>
      </c>
      <c r="K430" t="s">
        <v>36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37</v>
      </c>
      <c r="T430" t="s">
        <v>49</v>
      </c>
      <c r="U430" t="s">
        <v>39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79</v>
      </c>
    </row>
    <row r="431" spans="1:28" x14ac:dyDescent="0.35">
      <c r="A431">
        <v>1429</v>
      </c>
      <c r="B431" t="s">
        <v>50</v>
      </c>
      <c r="C431" t="s">
        <v>29</v>
      </c>
      <c r="D431" t="s">
        <v>51</v>
      </c>
      <c r="E431" t="s">
        <v>52</v>
      </c>
      <c r="F431" t="s">
        <v>53</v>
      </c>
      <c r="G431" s="1">
        <v>46040</v>
      </c>
      <c r="H431" t="s">
        <v>45</v>
      </c>
      <c r="I431" t="s">
        <v>57</v>
      </c>
      <c r="J431" t="s">
        <v>58</v>
      </c>
      <c r="K431" t="s">
        <v>78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64</v>
      </c>
      <c r="T431" t="s">
        <v>76</v>
      </c>
      <c r="U431" t="s">
        <v>74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79</v>
      </c>
    </row>
    <row r="432" spans="1:28" x14ac:dyDescent="0.35">
      <c r="A432">
        <v>1430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 s="1">
        <v>46136</v>
      </c>
      <c r="H432" t="s">
        <v>75</v>
      </c>
      <c r="I432" t="s">
        <v>69</v>
      </c>
      <c r="J432" t="s">
        <v>70</v>
      </c>
      <c r="K432" t="s">
        <v>73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64</v>
      </c>
      <c r="T432" t="s">
        <v>38</v>
      </c>
      <c r="U432" t="s">
        <v>55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79</v>
      </c>
    </row>
    <row r="433" spans="1:28" x14ac:dyDescent="0.35">
      <c r="A433">
        <v>1431</v>
      </c>
      <c r="B433" t="s">
        <v>50</v>
      </c>
      <c r="C433" t="s">
        <v>29</v>
      </c>
      <c r="D433" t="s">
        <v>51</v>
      </c>
      <c r="E433" t="s">
        <v>52</v>
      </c>
      <c r="F433" t="s">
        <v>53</v>
      </c>
      <c r="G433" s="1">
        <v>46132</v>
      </c>
      <c r="H433" t="s">
        <v>75</v>
      </c>
      <c r="I433" t="s">
        <v>80</v>
      </c>
      <c r="J433" t="s">
        <v>81</v>
      </c>
      <c r="K433" t="s">
        <v>59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64</v>
      </c>
      <c r="T433" t="s">
        <v>49</v>
      </c>
      <c r="U433" t="s">
        <v>55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79</v>
      </c>
    </row>
    <row r="434" spans="1:28" x14ac:dyDescent="0.35">
      <c r="A434">
        <v>1432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 s="1">
        <v>46164</v>
      </c>
      <c r="H434" t="s">
        <v>54</v>
      </c>
      <c r="I434" t="s">
        <v>34</v>
      </c>
      <c r="J434" t="s">
        <v>35</v>
      </c>
      <c r="K434" t="s">
        <v>78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48</v>
      </c>
      <c r="T434" t="s">
        <v>76</v>
      </c>
      <c r="U434" t="s">
        <v>39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56</v>
      </c>
    </row>
    <row r="435" spans="1:28" x14ac:dyDescent="0.35">
      <c r="A435">
        <v>1433</v>
      </c>
      <c r="B435" t="s">
        <v>60</v>
      </c>
      <c r="C435" t="s">
        <v>29</v>
      </c>
      <c r="D435" t="s">
        <v>61</v>
      </c>
      <c r="E435" t="s">
        <v>62</v>
      </c>
      <c r="F435" t="s">
        <v>32</v>
      </c>
      <c r="G435" s="1">
        <v>46118</v>
      </c>
      <c r="H435" t="s">
        <v>75</v>
      </c>
      <c r="I435" t="s">
        <v>80</v>
      </c>
      <c r="J435" t="s">
        <v>81</v>
      </c>
      <c r="K435" t="s">
        <v>73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48</v>
      </c>
      <c r="T435" t="s">
        <v>38</v>
      </c>
      <c r="U435" t="s">
        <v>55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79</v>
      </c>
    </row>
    <row r="436" spans="1:28" x14ac:dyDescent="0.35">
      <c r="A436">
        <v>1434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 s="1">
        <v>46174</v>
      </c>
      <c r="H436" t="s">
        <v>68</v>
      </c>
      <c r="I436" t="s">
        <v>69</v>
      </c>
      <c r="J436" t="s">
        <v>72</v>
      </c>
      <c r="K436" t="s">
        <v>73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37</v>
      </c>
      <c r="T436" t="s">
        <v>76</v>
      </c>
      <c r="U436" t="s">
        <v>39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79</v>
      </c>
    </row>
    <row r="437" spans="1:28" x14ac:dyDescent="0.35">
      <c r="A437">
        <v>1435</v>
      </c>
      <c r="B437" t="s">
        <v>41</v>
      </c>
      <c r="C437" t="s">
        <v>29</v>
      </c>
      <c r="D437" t="s">
        <v>42</v>
      </c>
      <c r="E437" t="s">
        <v>43</v>
      </c>
      <c r="F437" t="s">
        <v>44</v>
      </c>
      <c r="G437" s="1">
        <v>46193</v>
      </c>
      <c r="H437" t="s">
        <v>68</v>
      </c>
      <c r="I437" t="s">
        <v>57</v>
      </c>
      <c r="J437" t="s">
        <v>83</v>
      </c>
      <c r="K437" t="s">
        <v>59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48</v>
      </c>
      <c r="T437" t="s">
        <v>76</v>
      </c>
      <c r="U437" t="s">
        <v>39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63</v>
      </c>
    </row>
    <row r="438" spans="1:28" x14ac:dyDescent="0.35">
      <c r="A438">
        <v>1436</v>
      </c>
      <c r="B438" t="s">
        <v>50</v>
      </c>
      <c r="C438" t="s">
        <v>29</v>
      </c>
      <c r="D438" t="s">
        <v>51</v>
      </c>
      <c r="E438" t="s">
        <v>52</v>
      </c>
      <c r="F438" t="s">
        <v>53</v>
      </c>
      <c r="G438" s="1">
        <v>46085</v>
      </c>
      <c r="H438" t="s">
        <v>71</v>
      </c>
      <c r="I438" t="s">
        <v>34</v>
      </c>
      <c r="J438" t="s">
        <v>46</v>
      </c>
      <c r="K438" t="s">
        <v>59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64</v>
      </c>
      <c r="T438" t="s">
        <v>49</v>
      </c>
      <c r="U438" t="s">
        <v>39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79</v>
      </c>
    </row>
    <row r="439" spans="1:28" x14ac:dyDescent="0.35">
      <c r="A439">
        <v>1437</v>
      </c>
      <c r="B439" t="s">
        <v>60</v>
      </c>
      <c r="C439" t="s">
        <v>29</v>
      </c>
      <c r="D439" t="s">
        <v>61</v>
      </c>
      <c r="E439" t="s">
        <v>62</v>
      </c>
      <c r="F439" t="s">
        <v>32</v>
      </c>
      <c r="G439" s="1">
        <v>46172</v>
      </c>
      <c r="H439" t="s">
        <v>54</v>
      </c>
      <c r="I439" t="s">
        <v>69</v>
      </c>
      <c r="J439" t="s">
        <v>70</v>
      </c>
      <c r="K439" t="s">
        <v>73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37</v>
      </c>
      <c r="T439" t="s">
        <v>38</v>
      </c>
      <c r="U439" t="s">
        <v>55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63</v>
      </c>
    </row>
    <row r="440" spans="1:28" x14ac:dyDescent="0.35">
      <c r="A440">
        <v>1438</v>
      </c>
      <c r="B440" t="s">
        <v>41</v>
      </c>
      <c r="C440" t="s">
        <v>29</v>
      </c>
      <c r="D440" t="s">
        <v>42</v>
      </c>
      <c r="E440" t="s">
        <v>43</v>
      </c>
      <c r="F440" t="s">
        <v>44</v>
      </c>
      <c r="G440" s="1">
        <v>46056</v>
      </c>
      <c r="H440" t="s">
        <v>33</v>
      </c>
      <c r="I440" t="s">
        <v>80</v>
      </c>
      <c r="J440" t="s">
        <v>82</v>
      </c>
      <c r="K440" t="s">
        <v>78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48</v>
      </c>
      <c r="T440" t="s">
        <v>38</v>
      </c>
      <c r="U440" t="s">
        <v>39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56</v>
      </c>
    </row>
    <row r="441" spans="1:28" x14ac:dyDescent="0.35">
      <c r="A441">
        <v>1439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 s="1">
        <v>46038</v>
      </c>
      <c r="H441" t="s">
        <v>45</v>
      </c>
      <c r="I441" t="s">
        <v>57</v>
      </c>
      <c r="J441" t="s">
        <v>83</v>
      </c>
      <c r="K441" t="s">
        <v>36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64</v>
      </c>
      <c r="T441" t="s">
        <v>76</v>
      </c>
      <c r="U441" t="s">
        <v>39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79</v>
      </c>
    </row>
    <row r="442" spans="1:28" x14ac:dyDescent="0.35">
      <c r="A442">
        <v>1440</v>
      </c>
      <c r="B442" t="s">
        <v>50</v>
      </c>
      <c r="C442" t="s">
        <v>29</v>
      </c>
      <c r="D442" t="s">
        <v>51</v>
      </c>
      <c r="E442" t="s">
        <v>52</v>
      </c>
      <c r="F442" t="s">
        <v>53</v>
      </c>
      <c r="G442" s="1">
        <v>46132</v>
      </c>
      <c r="H442" t="s">
        <v>75</v>
      </c>
      <c r="I442" t="s">
        <v>80</v>
      </c>
      <c r="J442" t="s">
        <v>82</v>
      </c>
      <c r="K442" t="s">
        <v>47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48</v>
      </c>
      <c r="T442" t="s">
        <v>38</v>
      </c>
      <c r="U442" t="s">
        <v>39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79</v>
      </c>
    </row>
    <row r="443" spans="1:28" x14ac:dyDescent="0.35">
      <c r="A443">
        <v>1441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 s="1">
        <v>46178</v>
      </c>
      <c r="H443" t="s">
        <v>68</v>
      </c>
      <c r="I443" t="s">
        <v>69</v>
      </c>
      <c r="J443" t="s">
        <v>70</v>
      </c>
      <c r="K443" t="s">
        <v>78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64</v>
      </c>
      <c r="T443" t="s">
        <v>49</v>
      </c>
      <c r="U443" t="s">
        <v>55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56</v>
      </c>
    </row>
    <row r="444" spans="1:28" x14ac:dyDescent="0.35">
      <c r="A444">
        <v>1442</v>
      </c>
      <c r="B444" t="s">
        <v>41</v>
      </c>
      <c r="C444" t="s">
        <v>29</v>
      </c>
      <c r="D444" t="s">
        <v>42</v>
      </c>
      <c r="E444" t="s">
        <v>43</v>
      </c>
      <c r="F444" t="s">
        <v>44</v>
      </c>
      <c r="G444" s="1">
        <v>46114</v>
      </c>
      <c r="H444" t="s">
        <v>75</v>
      </c>
      <c r="I444" t="s">
        <v>57</v>
      </c>
      <c r="J444" t="s">
        <v>58</v>
      </c>
      <c r="K444" t="s">
        <v>73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37</v>
      </c>
      <c r="T444" t="s">
        <v>49</v>
      </c>
      <c r="U444" t="s">
        <v>74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79</v>
      </c>
    </row>
    <row r="445" spans="1:28" x14ac:dyDescent="0.35">
      <c r="A445">
        <v>1443</v>
      </c>
      <c r="B445" t="s">
        <v>50</v>
      </c>
      <c r="C445" t="s">
        <v>29</v>
      </c>
      <c r="D445" t="s">
        <v>51</v>
      </c>
      <c r="E445" t="s">
        <v>52</v>
      </c>
      <c r="F445" t="s">
        <v>53</v>
      </c>
      <c r="G445" s="1">
        <v>46191</v>
      </c>
      <c r="H445" t="s">
        <v>68</v>
      </c>
      <c r="I445" t="s">
        <v>34</v>
      </c>
      <c r="J445" t="s">
        <v>35</v>
      </c>
      <c r="K445" t="s">
        <v>36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37</v>
      </c>
      <c r="T445" t="s">
        <v>49</v>
      </c>
      <c r="U445" t="s">
        <v>74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40</v>
      </c>
    </row>
    <row r="446" spans="1:28" x14ac:dyDescent="0.35">
      <c r="A446">
        <v>1444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 s="1">
        <v>46166</v>
      </c>
      <c r="H446" t="s">
        <v>54</v>
      </c>
      <c r="I446" t="s">
        <v>80</v>
      </c>
      <c r="J446" t="s">
        <v>81</v>
      </c>
      <c r="K446" t="s">
        <v>78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48</v>
      </c>
      <c r="T446" t="s">
        <v>76</v>
      </c>
      <c r="U446" t="s">
        <v>39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63</v>
      </c>
    </row>
    <row r="447" spans="1:28" x14ac:dyDescent="0.35">
      <c r="A447">
        <v>1445</v>
      </c>
      <c r="B447" t="s">
        <v>50</v>
      </c>
      <c r="C447" t="s">
        <v>29</v>
      </c>
      <c r="D447" t="s">
        <v>51</v>
      </c>
      <c r="E447" t="s">
        <v>52</v>
      </c>
      <c r="F447" t="s">
        <v>53</v>
      </c>
      <c r="G447" s="1">
        <v>46028</v>
      </c>
      <c r="H447" t="s">
        <v>45</v>
      </c>
      <c r="I447" t="s">
        <v>80</v>
      </c>
      <c r="J447" t="s">
        <v>82</v>
      </c>
      <c r="K447" t="s">
        <v>73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64</v>
      </c>
      <c r="T447" t="s">
        <v>38</v>
      </c>
      <c r="U447" t="s">
        <v>55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56</v>
      </c>
    </row>
    <row r="448" spans="1:28" x14ac:dyDescent="0.35">
      <c r="A448">
        <v>1446</v>
      </c>
      <c r="B448" t="s">
        <v>60</v>
      </c>
      <c r="C448" t="s">
        <v>29</v>
      </c>
      <c r="D448" t="s">
        <v>61</v>
      </c>
      <c r="E448" t="s">
        <v>62</v>
      </c>
      <c r="F448" t="s">
        <v>32</v>
      </c>
      <c r="G448" s="1">
        <v>46182</v>
      </c>
      <c r="H448" t="s">
        <v>68</v>
      </c>
      <c r="I448" t="s">
        <v>34</v>
      </c>
      <c r="J448" t="s">
        <v>46</v>
      </c>
      <c r="K448" t="s">
        <v>47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48</v>
      </c>
      <c r="T448" t="s">
        <v>38</v>
      </c>
      <c r="U448" t="s">
        <v>74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79</v>
      </c>
    </row>
    <row r="449" spans="1:28" x14ac:dyDescent="0.35">
      <c r="A449">
        <v>1447</v>
      </c>
      <c r="B449" t="s">
        <v>41</v>
      </c>
      <c r="C449" t="s">
        <v>29</v>
      </c>
      <c r="D449" t="s">
        <v>42</v>
      </c>
      <c r="E449" t="s">
        <v>43</v>
      </c>
      <c r="F449" t="s">
        <v>44</v>
      </c>
      <c r="G449" s="1">
        <v>46144</v>
      </c>
      <c r="H449" t="s">
        <v>54</v>
      </c>
      <c r="I449" t="s">
        <v>69</v>
      </c>
      <c r="J449" t="s">
        <v>72</v>
      </c>
      <c r="K449" t="s">
        <v>78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64</v>
      </c>
      <c r="T449" t="s">
        <v>49</v>
      </c>
      <c r="U449" t="s">
        <v>39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79</v>
      </c>
    </row>
    <row r="450" spans="1:28" x14ac:dyDescent="0.35">
      <c r="A450">
        <v>1448</v>
      </c>
      <c r="B450" t="s">
        <v>50</v>
      </c>
      <c r="C450" t="s">
        <v>29</v>
      </c>
      <c r="D450" t="s">
        <v>51</v>
      </c>
      <c r="E450" t="s">
        <v>52</v>
      </c>
      <c r="F450" t="s">
        <v>53</v>
      </c>
      <c r="G450" s="1">
        <v>46050</v>
      </c>
      <c r="H450" t="s">
        <v>45</v>
      </c>
      <c r="I450" t="s">
        <v>69</v>
      </c>
      <c r="J450" t="s">
        <v>72</v>
      </c>
      <c r="K450" t="s">
        <v>36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48</v>
      </c>
      <c r="T450" t="s">
        <v>38</v>
      </c>
      <c r="U450" t="s">
        <v>39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40</v>
      </c>
    </row>
    <row r="451" spans="1:28" x14ac:dyDescent="0.35">
      <c r="A451">
        <v>1449</v>
      </c>
      <c r="B451" t="s">
        <v>50</v>
      </c>
      <c r="C451" t="s">
        <v>29</v>
      </c>
      <c r="D451" t="s">
        <v>51</v>
      </c>
      <c r="E451" t="s">
        <v>52</v>
      </c>
      <c r="F451" t="s">
        <v>53</v>
      </c>
      <c r="G451" s="1">
        <v>46053</v>
      </c>
      <c r="H451" t="s">
        <v>45</v>
      </c>
      <c r="I451" t="s">
        <v>69</v>
      </c>
      <c r="J451" t="s">
        <v>70</v>
      </c>
      <c r="K451" t="s">
        <v>78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48</v>
      </c>
      <c r="T451" t="s">
        <v>76</v>
      </c>
      <c r="U451" t="s">
        <v>39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40</v>
      </c>
    </row>
    <row r="452" spans="1:28" x14ac:dyDescent="0.35">
      <c r="A452">
        <v>1450</v>
      </c>
      <c r="B452" t="s">
        <v>50</v>
      </c>
      <c r="C452" t="s">
        <v>29</v>
      </c>
      <c r="D452" t="s">
        <v>51</v>
      </c>
      <c r="E452" t="s">
        <v>52</v>
      </c>
      <c r="F452" t="s">
        <v>53</v>
      </c>
      <c r="G452" s="1">
        <v>46112</v>
      </c>
      <c r="H452" t="s">
        <v>71</v>
      </c>
      <c r="I452" t="s">
        <v>57</v>
      </c>
      <c r="J452" t="s">
        <v>58</v>
      </c>
      <c r="K452" t="s">
        <v>78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37</v>
      </c>
      <c r="T452" t="s">
        <v>49</v>
      </c>
      <c r="U452" t="s">
        <v>55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63</v>
      </c>
    </row>
    <row r="453" spans="1:28" x14ac:dyDescent="0.35">
      <c r="A453">
        <v>1451</v>
      </c>
      <c r="B453" t="s">
        <v>41</v>
      </c>
      <c r="C453" t="s">
        <v>29</v>
      </c>
      <c r="D453" t="s">
        <v>42</v>
      </c>
      <c r="E453" t="s">
        <v>43</v>
      </c>
      <c r="F453" t="s">
        <v>44</v>
      </c>
      <c r="G453" s="1">
        <v>46037</v>
      </c>
      <c r="H453" t="s">
        <v>45</v>
      </c>
      <c r="I453" t="s">
        <v>69</v>
      </c>
      <c r="J453" t="s">
        <v>72</v>
      </c>
      <c r="K453" t="s">
        <v>59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64</v>
      </c>
      <c r="T453" t="s">
        <v>76</v>
      </c>
      <c r="U453" t="s">
        <v>39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40</v>
      </c>
    </row>
    <row r="454" spans="1:28" x14ac:dyDescent="0.35">
      <c r="A454">
        <v>1452</v>
      </c>
      <c r="B454" t="s">
        <v>65</v>
      </c>
      <c r="C454" t="s">
        <v>29</v>
      </c>
      <c r="D454" t="s">
        <v>66</v>
      </c>
      <c r="E454" t="s">
        <v>67</v>
      </c>
      <c r="F454" t="s">
        <v>32</v>
      </c>
      <c r="G454" s="1">
        <v>46189</v>
      </c>
      <c r="H454" t="s">
        <v>68</v>
      </c>
      <c r="I454" t="s">
        <v>34</v>
      </c>
      <c r="J454" t="s">
        <v>35</v>
      </c>
      <c r="K454" t="s">
        <v>59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37</v>
      </c>
      <c r="T454" t="s">
        <v>76</v>
      </c>
      <c r="U454" t="s">
        <v>39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40</v>
      </c>
    </row>
    <row r="455" spans="1:28" x14ac:dyDescent="0.35">
      <c r="A455">
        <v>1453</v>
      </c>
      <c r="B455" t="s">
        <v>41</v>
      </c>
      <c r="C455" t="s">
        <v>29</v>
      </c>
      <c r="D455" t="s">
        <v>42</v>
      </c>
      <c r="E455" t="s">
        <v>43</v>
      </c>
      <c r="F455" t="s">
        <v>44</v>
      </c>
      <c r="G455" s="1">
        <v>46063</v>
      </c>
      <c r="H455" t="s">
        <v>33</v>
      </c>
      <c r="I455" t="s">
        <v>34</v>
      </c>
      <c r="J455" t="s">
        <v>35</v>
      </c>
      <c r="K455" t="s">
        <v>59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48</v>
      </c>
      <c r="T455" t="s">
        <v>76</v>
      </c>
      <c r="U455" t="s">
        <v>55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79</v>
      </c>
    </row>
    <row r="456" spans="1:28" x14ac:dyDescent="0.35">
      <c r="A456">
        <v>1454</v>
      </c>
      <c r="B456" t="s">
        <v>41</v>
      </c>
      <c r="C456" t="s">
        <v>29</v>
      </c>
      <c r="D456" t="s">
        <v>42</v>
      </c>
      <c r="E456" t="s">
        <v>43</v>
      </c>
      <c r="F456" t="s">
        <v>44</v>
      </c>
      <c r="G456" s="1">
        <v>46107</v>
      </c>
      <c r="H456" t="s">
        <v>71</v>
      </c>
      <c r="I456" t="s">
        <v>57</v>
      </c>
      <c r="J456" t="s">
        <v>83</v>
      </c>
      <c r="K456" t="s">
        <v>73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48</v>
      </c>
      <c r="T456" t="s">
        <v>38</v>
      </c>
      <c r="U456" t="s">
        <v>74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63</v>
      </c>
    </row>
    <row r="457" spans="1:28" x14ac:dyDescent="0.35">
      <c r="A457">
        <v>1455</v>
      </c>
      <c r="B457" t="s">
        <v>60</v>
      </c>
      <c r="C457" t="s">
        <v>29</v>
      </c>
      <c r="D457" t="s">
        <v>61</v>
      </c>
      <c r="E457" t="s">
        <v>62</v>
      </c>
      <c r="F457" t="s">
        <v>32</v>
      </c>
      <c r="G457" s="1">
        <v>46038</v>
      </c>
      <c r="H457" t="s">
        <v>45</v>
      </c>
      <c r="I457" t="s">
        <v>69</v>
      </c>
      <c r="J457" t="s">
        <v>70</v>
      </c>
      <c r="K457" t="s">
        <v>78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48</v>
      </c>
      <c r="T457" t="s">
        <v>49</v>
      </c>
      <c r="U457" t="s">
        <v>74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63</v>
      </c>
    </row>
    <row r="458" spans="1:28" x14ac:dyDescent="0.35">
      <c r="A458">
        <v>1456</v>
      </c>
      <c r="B458" t="s">
        <v>50</v>
      </c>
      <c r="C458" t="s">
        <v>29</v>
      </c>
      <c r="D458" t="s">
        <v>51</v>
      </c>
      <c r="E458" t="s">
        <v>52</v>
      </c>
      <c r="F458" t="s">
        <v>53</v>
      </c>
      <c r="G458" s="1">
        <v>46198</v>
      </c>
      <c r="H458" t="s">
        <v>68</v>
      </c>
      <c r="I458" t="s">
        <v>34</v>
      </c>
      <c r="J458" t="s">
        <v>35</v>
      </c>
      <c r="K458" t="s">
        <v>36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37</v>
      </c>
      <c r="T458" t="s">
        <v>49</v>
      </c>
      <c r="U458" t="s">
        <v>74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63</v>
      </c>
    </row>
    <row r="459" spans="1:28" x14ac:dyDescent="0.35">
      <c r="A459">
        <v>1457</v>
      </c>
      <c r="B459" t="s">
        <v>60</v>
      </c>
      <c r="C459" t="s">
        <v>29</v>
      </c>
      <c r="D459" t="s">
        <v>61</v>
      </c>
      <c r="E459" t="s">
        <v>62</v>
      </c>
      <c r="F459" t="s">
        <v>32</v>
      </c>
      <c r="G459" s="1">
        <v>46085</v>
      </c>
      <c r="H459" t="s">
        <v>71</v>
      </c>
      <c r="I459" t="s">
        <v>57</v>
      </c>
      <c r="J459" t="s">
        <v>83</v>
      </c>
      <c r="K459" t="s">
        <v>73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48</v>
      </c>
      <c r="T459" t="s">
        <v>76</v>
      </c>
      <c r="U459" t="s">
        <v>74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40</v>
      </c>
    </row>
    <row r="460" spans="1:28" x14ac:dyDescent="0.35">
      <c r="A460">
        <v>1458</v>
      </c>
      <c r="B460" t="s">
        <v>41</v>
      </c>
      <c r="C460" t="s">
        <v>29</v>
      </c>
      <c r="D460" t="s">
        <v>42</v>
      </c>
      <c r="E460" t="s">
        <v>43</v>
      </c>
      <c r="F460" t="s">
        <v>44</v>
      </c>
      <c r="G460" s="1">
        <v>46036</v>
      </c>
      <c r="H460" t="s">
        <v>45</v>
      </c>
      <c r="I460" t="s">
        <v>34</v>
      </c>
      <c r="J460" t="s">
        <v>77</v>
      </c>
      <c r="K460" t="s">
        <v>73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48</v>
      </c>
      <c r="T460" t="s">
        <v>38</v>
      </c>
      <c r="U460" t="s">
        <v>74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63</v>
      </c>
    </row>
    <row r="461" spans="1:28" x14ac:dyDescent="0.35">
      <c r="A461">
        <v>1459</v>
      </c>
      <c r="B461" t="s">
        <v>41</v>
      </c>
      <c r="C461" t="s">
        <v>29</v>
      </c>
      <c r="D461" t="s">
        <v>42</v>
      </c>
      <c r="E461" t="s">
        <v>43</v>
      </c>
      <c r="F461" t="s">
        <v>44</v>
      </c>
      <c r="G461" s="1">
        <v>46126</v>
      </c>
      <c r="H461" t="s">
        <v>75</v>
      </c>
      <c r="I461" t="s">
        <v>34</v>
      </c>
      <c r="J461" t="s">
        <v>46</v>
      </c>
      <c r="K461" t="s">
        <v>78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64</v>
      </c>
      <c r="T461" t="s">
        <v>76</v>
      </c>
      <c r="U461" t="s">
        <v>39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79</v>
      </c>
    </row>
    <row r="462" spans="1:28" x14ac:dyDescent="0.35">
      <c r="A462">
        <v>1460</v>
      </c>
      <c r="B462" t="s">
        <v>50</v>
      </c>
      <c r="C462" t="s">
        <v>29</v>
      </c>
      <c r="D462" t="s">
        <v>51</v>
      </c>
      <c r="E462" t="s">
        <v>52</v>
      </c>
      <c r="F462" t="s">
        <v>53</v>
      </c>
      <c r="G462" s="1">
        <v>46132</v>
      </c>
      <c r="H462" t="s">
        <v>75</v>
      </c>
      <c r="I462" t="s">
        <v>57</v>
      </c>
      <c r="J462" t="s">
        <v>58</v>
      </c>
      <c r="K462" t="s">
        <v>73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37</v>
      </c>
      <c r="T462" t="s">
        <v>49</v>
      </c>
      <c r="U462" t="s">
        <v>39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79</v>
      </c>
    </row>
    <row r="463" spans="1:28" x14ac:dyDescent="0.35">
      <c r="A463">
        <v>1461</v>
      </c>
      <c r="B463" t="s">
        <v>60</v>
      </c>
      <c r="C463" t="s">
        <v>29</v>
      </c>
      <c r="D463" t="s">
        <v>61</v>
      </c>
      <c r="E463" t="s">
        <v>62</v>
      </c>
      <c r="F463" t="s">
        <v>32</v>
      </c>
      <c r="G463" s="1">
        <v>46053</v>
      </c>
      <c r="H463" t="s">
        <v>45</v>
      </c>
      <c r="I463" t="s">
        <v>69</v>
      </c>
      <c r="J463" t="s">
        <v>72</v>
      </c>
      <c r="K463" t="s">
        <v>59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48</v>
      </c>
      <c r="T463" t="s">
        <v>76</v>
      </c>
      <c r="U463" t="s">
        <v>55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79</v>
      </c>
    </row>
    <row r="464" spans="1:28" x14ac:dyDescent="0.35">
      <c r="A464">
        <v>1462</v>
      </c>
      <c r="B464" t="s">
        <v>50</v>
      </c>
      <c r="C464" t="s">
        <v>29</v>
      </c>
      <c r="D464" t="s">
        <v>51</v>
      </c>
      <c r="E464" t="s">
        <v>52</v>
      </c>
      <c r="F464" t="s">
        <v>53</v>
      </c>
      <c r="G464" s="1">
        <v>46144</v>
      </c>
      <c r="H464" t="s">
        <v>54</v>
      </c>
      <c r="I464" t="s">
        <v>57</v>
      </c>
      <c r="J464" t="s">
        <v>58</v>
      </c>
      <c r="K464" t="s">
        <v>78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48</v>
      </c>
      <c r="T464" t="s">
        <v>76</v>
      </c>
      <c r="U464" t="s">
        <v>39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63</v>
      </c>
    </row>
    <row r="465" spans="1:28" x14ac:dyDescent="0.35">
      <c r="A465">
        <v>1463</v>
      </c>
      <c r="B465" t="s">
        <v>65</v>
      </c>
      <c r="C465" t="s">
        <v>29</v>
      </c>
      <c r="D465" t="s">
        <v>66</v>
      </c>
      <c r="E465" t="s">
        <v>67</v>
      </c>
      <c r="F465" t="s">
        <v>32</v>
      </c>
      <c r="G465" s="1">
        <v>46170</v>
      </c>
      <c r="H465" t="s">
        <v>54</v>
      </c>
      <c r="I465" t="s">
        <v>80</v>
      </c>
      <c r="J465" t="s">
        <v>81</v>
      </c>
      <c r="K465" t="s">
        <v>47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64</v>
      </c>
      <c r="T465" t="s">
        <v>76</v>
      </c>
      <c r="U465" t="s">
        <v>55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63</v>
      </c>
    </row>
    <row r="466" spans="1:28" x14ac:dyDescent="0.35">
      <c r="A466">
        <v>1464</v>
      </c>
      <c r="B466" t="s">
        <v>50</v>
      </c>
      <c r="C466" t="s">
        <v>29</v>
      </c>
      <c r="D466" t="s">
        <v>51</v>
      </c>
      <c r="E466" t="s">
        <v>52</v>
      </c>
      <c r="F466" t="s">
        <v>53</v>
      </c>
      <c r="G466" s="1">
        <v>46197</v>
      </c>
      <c r="H466" t="s">
        <v>68</v>
      </c>
      <c r="I466" t="s">
        <v>57</v>
      </c>
      <c r="J466" t="s">
        <v>58</v>
      </c>
      <c r="K466" t="s">
        <v>73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48</v>
      </c>
      <c r="T466" t="s">
        <v>76</v>
      </c>
      <c r="U466" t="s">
        <v>39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79</v>
      </c>
    </row>
    <row r="467" spans="1:28" x14ac:dyDescent="0.35">
      <c r="A467">
        <v>1465</v>
      </c>
      <c r="B467" t="s">
        <v>65</v>
      </c>
      <c r="C467" t="s">
        <v>29</v>
      </c>
      <c r="D467" t="s">
        <v>66</v>
      </c>
      <c r="E467" t="s">
        <v>67</v>
      </c>
      <c r="F467" t="s">
        <v>32</v>
      </c>
      <c r="G467" s="1">
        <v>46116</v>
      </c>
      <c r="H467" t="s">
        <v>75</v>
      </c>
      <c r="I467" t="s">
        <v>57</v>
      </c>
      <c r="J467" t="s">
        <v>83</v>
      </c>
      <c r="K467" t="s">
        <v>47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64</v>
      </c>
      <c r="T467" t="s">
        <v>76</v>
      </c>
      <c r="U467" t="s">
        <v>74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63</v>
      </c>
    </row>
    <row r="468" spans="1:28" x14ac:dyDescent="0.35">
      <c r="A468">
        <v>1466</v>
      </c>
      <c r="B468" t="s">
        <v>41</v>
      </c>
      <c r="C468" t="s">
        <v>29</v>
      </c>
      <c r="D468" t="s">
        <v>42</v>
      </c>
      <c r="E468" t="s">
        <v>43</v>
      </c>
      <c r="F468" t="s">
        <v>44</v>
      </c>
      <c r="G468" s="1">
        <v>46035</v>
      </c>
      <c r="H468" t="s">
        <v>45</v>
      </c>
      <c r="I468" t="s">
        <v>80</v>
      </c>
      <c r="J468" t="s">
        <v>82</v>
      </c>
      <c r="K468" t="s">
        <v>36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64</v>
      </c>
      <c r="T468" t="s">
        <v>49</v>
      </c>
      <c r="U468" t="s">
        <v>39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63</v>
      </c>
    </row>
    <row r="469" spans="1:28" x14ac:dyDescent="0.35">
      <c r="A469">
        <v>1467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 s="1">
        <v>46124</v>
      </c>
      <c r="H469" t="s">
        <v>75</v>
      </c>
      <c r="I469" t="s">
        <v>34</v>
      </c>
      <c r="J469" t="s">
        <v>35</v>
      </c>
      <c r="K469" t="s">
        <v>59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64</v>
      </c>
      <c r="T469" t="s">
        <v>76</v>
      </c>
      <c r="U469" t="s">
        <v>74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63</v>
      </c>
    </row>
    <row r="470" spans="1:28" x14ac:dyDescent="0.35">
      <c r="A470">
        <v>1468</v>
      </c>
      <c r="B470" t="s">
        <v>60</v>
      </c>
      <c r="C470" t="s">
        <v>29</v>
      </c>
      <c r="D470" t="s">
        <v>61</v>
      </c>
      <c r="E470" t="s">
        <v>62</v>
      </c>
      <c r="F470" t="s">
        <v>32</v>
      </c>
      <c r="G470" s="1">
        <v>46137</v>
      </c>
      <c r="H470" t="s">
        <v>75</v>
      </c>
      <c r="I470" t="s">
        <v>57</v>
      </c>
      <c r="J470" t="s">
        <v>83</v>
      </c>
      <c r="K470" t="s">
        <v>36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37</v>
      </c>
      <c r="T470" t="s">
        <v>49</v>
      </c>
      <c r="U470" t="s">
        <v>74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79</v>
      </c>
    </row>
    <row r="471" spans="1:28" x14ac:dyDescent="0.35">
      <c r="A471">
        <v>1469</v>
      </c>
      <c r="B471" t="s">
        <v>65</v>
      </c>
      <c r="C471" t="s">
        <v>29</v>
      </c>
      <c r="D471" t="s">
        <v>66</v>
      </c>
      <c r="E471" t="s">
        <v>67</v>
      </c>
      <c r="F471" t="s">
        <v>32</v>
      </c>
      <c r="G471" s="1">
        <v>46125</v>
      </c>
      <c r="H471" t="s">
        <v>75</v>
      </c>
      <c r="I471" t="s">
        <v>57</v>
      </c>
      <c r="J471" t="s">
        <v>58</v>
      </c>
      <c r="K471" t="s">
        <v>47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37</v>
      </c>
      <c r="T471" t="s">
        <v>49</v>
      </c>
      <c r="U471" t="s">
        <v>74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79</v>
      </c>
    </row>
    <row r="472" spans="1:28" x14ac:dyDescent="0.35">
      <c r="A472">
        <v>1470</v>
      </c>
      <c r="B472" t="s">
        <v>50</v>
      </c>
      <c r="C472" t="s">
        <v>29</v>
      </c>
      <c r="D472" t="s">
        <v>51</v>
      </c>
      <c r="E472" t="s">
        <v>52</v>
      </c>
      <c r="F472" t="s">
        <v>53</v>
      </c>
      <c r="G472" s="1">
        <v>46076</v>
      </c>
      <c r="H472" t="s">
        <v>33</v>
      </c>
      <c r="I472" t="s">
        <v>34</v>
      </c>
      <c r="J472" t="s">
        <v>35</v>
      </c>
      <c r="K472" t="s">
        <v>78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48</v>
      </c>
      <c r="T472" t="s">
        <v>38</v>
      </c>
      <c r="U472" t="s">
        <v>55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63</v>
      </c>
    </row>
    <row r="473" spans="1:28" x14ac:dyDescent="0.35">
      <c r="A473">
        <v>1471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 s="1">
        <v>46174</v>
      </c>
      <c r="H473" t="s">
        <v>68</v>
      </c>
      <c r="I473" t="s">
        <v>57</v>
      </c>
      <c r="J473" t="s">
        <v>83</v>
      </c>
      <c r="K473" t="s">
        <v>59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37</v>
      </c>
      <c r="T473" t="s">
        <v>38</v>
      </c>
      <c r="U473" t="s">
        <v>74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79</v>
      </c>
    </row>
    <row r="474" spans="1:28" x14ac:dyDescent="0.35">
      <c r="A474">
        <v>1472</v>
      </c>
      <c r="B474" t="s">
        <v>60</v>
      </c>
      <c r="C474" t="s">
        <v>29</v>
      </c>
      <c r="D474" t="s">
        <v>61</v>
      </c>
      <c r="E474" t="s">
        <v>62</v>
      </c>
      <c r="F474" t="s">
        <v>32</v>
      </c>
      <c r="G474" s="1">
        <v>46199</v>
      </c>
      <c r="H474" t="s">
        <v>68</v>
      </c>
      <c r="I474" t="s">
        <v>69</v>
      </c>
      <c r="J474" t="s">
        <v>72</v>
      </c>
      <c r="K474" t="s">
        <v>36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48</v>
      </c>
      <c r="T474" t="s">
        <v>38</v>
      </c>
      <c r="U474" t="s">
        <v>74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56</v>
      </c>
    </row>
    <row r="475" spans="1:28" x14ac:dyDescent="0.35">
      <c r="A475">
        <v>1473</v>
      </c>
      <c r="B475" t="s">
        <v>60</v>
      </c>
      <c r="C475" t="s">
        <v>29</v>
      </c>
      <c r="D475" t="s">
        <v>61</v>
      </c>
      <c r="E475" t="s">
        <v>62</v>
      </c>
      <c r="F475" t="s">
        <v>32</v>
      </c>
      <c r="G475" s="1">
        <v>46148</v>
      </c>
      <c r="H475" t="s">
        <v>54</v>
      </c>
      <c r="I475" t="s">
        <v>80</v>
      </c>
      <c r="J475" t="s">
        <v>82</v>
      </c>
      <c r="K475" t="s">
        <v>36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37</v>
      </c>
      <c r="T475" t="s">
        <v>49</v>
      </c>
      <c r="U475" t="s">
        <v>55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79</v>
      </c>
    </row>
    <row r="476" spans="1:28" x14ac:dyDescent="0.35">
      <c r="A476">
        <v>1474</v>
      </c>
      <c r="B476" t="s">
        <v>60</v>
      </c>
      <c r="C476" t="s">
        <v>29</v>
      </c>
      <c r="D476" t="s">
        <v>61</v>
      </c>
      <c r="E476" t="s">
        <v>62</v>
      </c>
      <c r="F476" t="s">
        <v>32</v>
      </c>
      <c r="G476" s="1">
        <v>46056</v>
      </c>
      <c r="H476" t="s">
        <v>33</v>
      </c>
      <c r="I476" t="s">
        <v>34</v>
      </c>
      <c r="J476" t="s">
        <v>77</v>
      </c>
      <c r="K476" t="s">
        <v>59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64</v>
      </c>
      <c r="T476" t="s">
        <v>76</v>
      </c>
      <c r="U476" t="s">
        <v>55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63</v>
      </c>
    </row>
    <row r="477" spans="1:28" x14ac:dyDescent="0.35">
      <c r="A477">
        <v>1475</v>
      </c>
      <c r="B477" t="s">
        <v>41</v>
      </c>
      <c r="C477" t="s">
        <v>29</v>
      </c>
      <c r="D477" t="s">
        <v>42</v>
      </c>
      <c r="E477" t="s">
        <v>43</v>
      </c>
      <c r="F477" t="s">
        <v>44</v>
      </c>
      <c r="G477" s="1">
        <v>46033</v>
      </c>
      <c r="H477" t="s">
        <v>45</v>
      </c>
      <c r="I477" t="s">
        <v>57</v>
      </c>
      <c r="J477" t="s">
        <v>58</v>
      </c>
      <c r="K477" t="s">
        <v>59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48</v>
      </c>
      <c r="T477" t="s">
        <v>38</v>
      </c>
      <c r="U477" t="s">
        <v>39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40</v>
      </c>
    </row>
    <row r="478" spans="1:28" x14ac:dyDescent="0.35">
      <c r="A478">
        <v>1476</v>
      </c>
      <c r="B478" t="s">
        <v>50</v>
      </c>
      <c r="C478" t="s">
        <v>29</v>
      </c>
      <c r="D478" t="s">
        <v>51</v>
      </c>
      <c r="E478" t="s">
        <v>52</v>
      </c>
      <c r="F478" t="s">
        <v>53</v>
      </c>
      <c r="G478" s="1">
        <v>46112</v>
      </c>
      <c r="H478" t="s">
        <v>71</v>
      </c>
      <c r="I478" t="s">
        <v>57</v>
      </c>
      <c r="J478" t="s">
        <v>58</v>
      </c>
      <c r="K478" t="s">
        <v>59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64</v>
      </c>
      <c r="T478" t="s">
        <v>49</v>
      </c>
      <c r="U478" t="s">
        <v>39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40</v>
      </c>
    </row>
    <row r="479" spans="1:28" x14ac:dyDescent="0.35">
      <c r="A479">
        <v>1477</v>
      </c>
      <c r="B479" t="s">
        <v>60</v>
      </c>
      <c r="C479" t="s">
        <v>29</v>
      </c>
      <c r="D479" t="s">
        <v>61</v>
      </c>
      <c r="E479" t="s">
        <v>62</v>
      </c>
      <c r="F479" t="s">
        <v>32</v>
      </c>
      <c r="G479" s="1">
        <v>46060</v>
      </c>
      <c r="H479" t="s">
        <v>33</v>
      </c>
      <c r="I479" t="s">
        <v>69</v>
      </c>
      <c r="J479" t="s">
        <v>72</v>
      </c>
      <c r="K479" t="s">
        <v>59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64</v>
      </c>
      <c r="T479" t="s">
        <v>76</v>
      </c>
      <c r="U479" t="s">
        <v>74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63</v>
      </c>
    </row>
    <row r="480" spans="1:28" x14ac:dyDescent="0.35">
      <c r="A480">
        <v>1478</v>
      </c>
      <c r="B480" t="s">
        <v>60</v>
      </c>
      <c r="C480" t="s">
        <v>29</v>
      </c>
      <c r="D480" t="s">
        <v>61</v>
      </c>
      <c r="E480" t="s">
        <v>62</v>
      </c>
      <c r="F480" t="s">
        <v>32</v>
      </c>
      <c r="G480" s="1">
        <v>46038</v>
      </c>
      <c r="H480" t="s">
        <v>45</v>
      </c>
      <c r="I480" t="s">
        <v>57</v>
      </c>
      <c r="J480" t="s">
        <v>58</v>
      </c>
      <c r="K480" t="s">
        <v>47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64</v>
      </c>
      <c r="T480" t="s">
        <v>49</v>
      </c>
      <c r="U480" t="s">
        <v>74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56</v>
      </c>
    </row>
    <row r="481" spans="1:28" x14ac:dyDescent="0.35">
      <c r="A481">
        <v>1479</v>
      </c>
      <c r="B481" t="s">
        <v>41</v>
      </c>
      <c r="C481" t="s">
        <v>29</v>
      </c>
      <c r="D481" t="s">
        <v>42</v>
      </c>
      <c r="E481" t="s">
        <v>43</v>
      </c>
      <c r="F481" t="s">
        <v>44</v>
      </c>
      <c r="G481" s="1">
        <v>46083</v>
      </c>
      <c r="H481" t="s">
        <v>71</v>
      </c>
      <c r="I481" t="s">
        <v>57</v>
      </c>
      <c r="J481" t="s">
        <v>83</v>
      </c>
      <c r="K481" t="s">
        <v>59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48</v>
      </c>
      <c r="T481" t="s">
        <v>76</v>
      </c>
      <c r="U481" t="s">
        <v>55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40</v>
      </c>
    </row>
    <row r="482" spans="1:28" x14ac:dyDescent="0.35">
      <c r="A482">
        <v>1480</v>
      </c>
      <c r="B482" t="s">
        <v>50</v>
      </c>
      <c r="C482" t="s">
        <v>29</v>
      </c>
      <c r="D482" t="s">
        <v>51</v>
      </c>
      <c r="E482" t="s">
        <v>52</v>
      </c>
      <c r="F482" t="s">
        <v>53</v>
      </c>
      <c r="G482" s="1">
        <v>46061</v>
      </c>
      <c r="H482" t="s">
        <v>33</v>
      </c>
      <c r="I482" t="s">
        <v>80</v>
      </c>
      <c r="J482" t="s">
        <v>81</v>
      </c>
      <c r="K482" t="s">
        <v>73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37</v>
      </c>
      <c r="T482" t="s">
        <v>49</v>
      </c>
      <c r="U482" t="s">
        <v>39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79</v>
      </c>
    </row>
    <row r="483" spans="1:28" x14ac:dyDescent="0.35">
      <c r="A483">
        <v>1481</v>
      </c>
      <c r="B483" t="s">
        <v>50</v>
      </c>
      <c r="C483" t="s">
        <v>29</v>
      </c>
      <c r="D483" t="s">
        <v>51</v>
      </c>
      <c r="E483" t="s">
        <v>52</v>
      </c>
      <c r="F483" t="s">
        <v>53</v>
      </c>
      <c r="G483" s="1">
        <v>46076</v>
      </c>
      <c r="H483" t="s">
        <v>33</v>
      </c>
      <c r="I483" t="s">
        <v>57</v>
      </c>
      <c r="J483" t="s">
        <v>83</v>
      </c>
      <c r="K483" t="s">
        <v>47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37</v>
      </c>
      <c r="T483" t="s">
        <v>49</v>
      </c>
      <c r="U483" t="s">
        <v>74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63</v>
      </c>
    </row>
    <row r="484" spans="1:28" x14ac:dyDescent="0.35">
      <c r="A484">
        <v>1482</v>
      </c>
      <c r="B484" t="s">
        <v>65</v>
      </c>
      <c r="C484" t="s">
        <v>29</v>
      </c>
      <c r="D484" t="s">
        <v>66</v>
      </c>
      <c r="E484" t="s">
        <v>67</v>
      </c>
      <c r="F484" t="s">
        <v>32</v>
      </c>
      <c r="G484" s="1">
        <v>46089</v>
      </c>
      <c r="H484" t="s">
        <v>71</v>
      </c>
      <c r="I484" t="s">
        <v>34</v>
      </c>
      <c r="J484" t="s">
        <v>35</v>
      </c>
      <c r="K484" t="s">
        <v>36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48</v>
      </c>
      <c r="T484" t="s">
        <v>49</v>
      </c>
      <c r="U484" t="s">
        <v>55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79</v>
      </c>
    </row>
    <row r="485" spans="1:28" x14ac:dyDescent="0.35">
      <c r="A485">
        <v>1483</v>
      </c>
      <c r="B485" t="s">
        <v>60</v>
      </c>
      <c r="C485" t="s">
        <v>29</v>
      </c>
      <c r="D485" t="s">
        <v>61</v>
      </c>
      <c r="E485" t="s">
        <v>62</v>
      </c>
      <c r="F485" t="s">
        <v>32</v>
      </c>
      <c r="G485" s="1">
        <v>46152</v>
      </c>
      <c r="H485" t="s">
        <v>54</v>
      </c>
      <c r="I485" t="s">
        <v>57</v>
      </c>
      <c r="J485" t="s">
        <v>83</v>
      </c>
      <c r="K485" t="s">
        <v>59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64</v>
      </c>
      <c r="T485" t="s">
        <v>49</v>
      </c>
      <c r="U485" t="s">
        <v>39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40</v>
      </c>
    </row>
    <row r="486" spans="1:28" x14ac:dyDescent="0.35">
      <c r="A486">
        <v>1484</v>
      </c>
      <c r="B486" t="s">
        <v>50</v>
      </c>
      <c r="C486" t="s">
        <v>29</v>
      </c>
      <c r="D486" t="s">
        <v>51</v>
      </c>
      <c r="E486" t="s">
        <v>52</v>
      </c>
      <c r="F486" t="s">
        <v>53</v>
      </c>
      <c r="G486" s="1">
        <v>46141</v>
      </c>
      <c r="H486" t="s">
        <v>75</v>
      </c>
      <c r="I486" t="s">
        <v>80</v>
      </c>
      <c r="J486" t="s">
        <v>82</v>
      </c>
      <c r="K486" t="s">
        <v>47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37</v>
      </c>
      <c r="T486" t="s">
        <v>76</v>
      </c>
      <c r="U486" t="s">
        <v>55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56</v>
      </c>
    </row>
    <row r="487" spans="1:28" x14ac:dyDescent="0.35">
      <c r="A487">
        <v>1485</v>
      </c>
      <c r="B487" t="s">
        <v>65</v>
      </c>
      <c r="C487" t="s">
        <v>29</v>
      </c>
      <c r="D487" t="s">
        <v>66</v>
      </c>
      <c r="E487" t="s">
        <v>67</v>
      </c>
      <c r="F487" t="s">
        <v>32</v>
      </c>
      <c r="G487" s="1">
        <v>46159</v>
      </c>
      <c r="H487" t="s">
        <v>54</v>
      </c>
      <c r="I487" t="s">
        <v>80</v>
      </c>
      <c r="J487" t="s">
        <v>82</v>
      </c>
      <c r="K487" t="s">
        <v>78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64</v>
      </c>
      <c r="T487" t="s">
        <v>76</v>
      </c>
      <c r="U487" t="s">
        <v>55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79</v>
      </c>
    </row>
    <row r="488" spans="1:28" x14ac:dyDescent="0.35">
      <c r="A488">
        <v>1486</v>
      </c>
      <c r="B488" t="s">
        <v>50</v>
      </c>
      <c r="C488" t="s">
        <v>29</v>
      </c>
      <c r="D488" t="s">
        <v>51</v>
      </c>
      <c r="E488" t="s">
        <v>52</v>
      </c>
      <c r="F488" t="s">
        <v>53</v>
      </c>
      <c r="G488" s="1">
        <v>46106</v>
      </c>
      <c r="H488" t="s">
        <v>71</v>
      </c>
      <c r="I488" t="s">
        <v>57</v>
      </c>
      <c r="J488" t="s">
        <v>83</v>
      </c>
      <c r="K488" t="s">
        <v>47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64</v>
      </c>
      <c r="T488" t="s">
        <v>76</v>
      </c>
      <c r="U488" t="s">
        <v>74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79</v>
      </c>
    </row>
    <row r="489" spans="1:28" x14ac:dyDescent="0.35">
      <c r="A489">
        <v>1487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 s="1">
        <v>46033</v>
      </c>
      <c r="H489" t="s">
        <v>45</v>
      </c>
      <c r="I489" t="s">
        <v>34</v>
      </c>
      <c r="J489" t="s">
        <v>46</v>
      </c>
      <c r="K489" t="s">
        <v>59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37</v>
      </c>
      <c r="T489" t="s">
        <v>76</v>
      </c>
      <c r="U489" t="s">
        <v>55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56</v>
      </c>
    </row>
    <row r="490" spans="1:28" x14ac:dyDescent="0.35">
      <c r="A490">
        <v>1488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 s="1">
        <v>46055</v>
      </c>
      <c r="H490" t="s">
        <v>33</v>
      </c>
      <c r="I490" t="s">
        <v>69</v>
      </c>
      <c r="J490" t="s">
        <v>70</v>
      </c>
      <c r="K490" t="s">
        <v>73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48</v>
      </c>
      <c r="T490" t="s">
        <v>49</v>
      </c>
      <c r="U490" t="s">
        <v>55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79</v>
      </c>
    </row>
    <row r="491" spans="1:28" x14ac:dyDescent="0.35">
      <c r="A491">
        <v>1489</v>
      </c>
      <c r="B491" t="s">
        <v>50</v>
      </c>
      <c r="C491" t="s">
        <v>29</v>
      </c>
      <c r="D491" t="s">
        <v>51</v>
      </c>
      <c r="E491" t="s">
        <v>52</v>
      </c>
      <c r="F491" t="s">
        <v>53</v>
      </c>
      <c r="G491" s="1">
        <v>46102</v>
      </c>
      <c r="H491" t="s">
        <v>71</v>
      </c>
      <c r="I491" t="s">
        <v>80</v>
      </c>
      <c r="J491" t="s">
        <v>82</v>
      </c>
      <c r="K491" t="s">
        <v>59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64</v>
      </c>
      <c r="T491" t="s">
        <v>38</v>
      </c>
      <c r="U491" t="s">
        <v>39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63</v>
      </c>
    </row>
    <row r="492" spans="1:28" x14ac:dyDescent="0.35">
      <c r="A492">
        <v>1490</v>
      </c>
      <c r="B492" t="s">
        <v>60</v>
      </c>
      <c r="C492" t="s">
        <v>29</v>
      </c>
      <c r="D492" t="s">
        <v>61</v>
      </c>
      <c r="E492" t="s">
        <v>62</v>
      </c>
      <c r="F492" t="s">
        <v>32</v>
      </c>
      <c r="G492" s="1">
        <v>46038</v>
      </c>
      <c r="H492" t="s">
        <v>45</v>
      </c>
      <c r="I492" t="s">
        <v>34</v>
      </c>
      <c r="J492" t="s">
        <v>46</v>
      </c>
      <c r="K492" t="s">
        <v>36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37</v>
      </c>
      <c r="T492" t="s">
        <v>49</v>
      </c>
      <c r="U492" t="s">
        <v>39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63</v>
      </c>
    </row>
    <row r="493" spans="1:28" x14ac:dyDescent="0.35">
      <c r="A493">
        <v>1491</v>
      </c>
      <c r="B493" t="s">
        <v>60</v>
      </c>
      <c r="C493" t="s">
        <v>29</v>
      </c>
      <c r="D493" t="s">
        <v>61</v>
      </c>
      <c r="E493" t="s">
        <v>62</v>
      </c>
      <c r="F493" t="s">
        <v>32</v>
      </c>
      <c r="G493" s="1">
        <v>46112</v>
      </c>
      <c r="H493" t="s">
        <v>71</v>
      </c>
      <c r="I493" t="s">
        <v>80</v>
      </c>
      <c r="J493" t="s">
        <v>81</v>
      </c>
      <c r="K493" t="s">
        <v>73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64</v>
      </c>
      <c r="T493" t="s">
        <v>38</v>
      </c>
      <c r="U493" t="s">
        <v>39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63</v>
      </c>
    </row>
    <row r="494" spans="1:28" x14ac:dyDescent="0.35">
      <c r="A494">
        <v>1492</v>
      </c>
      <c r="B494" t="s">
        <v>41</v>
      </c>
      <c r="C494" t="s">
        <v>29</v>
      </c>
      <c r="D494" t="s">
        <v>42</v>
      </c>
      <c r="E494" t="s">
        <v>43</v>
      </c>
      <c r="F494" t="s">
        <v>44</v>
      </c>
      <c r="G494" s="1">
        <v>46123</v>
      </c>
      <c r="H494" t="s">
        <v>75</v>
      </c>
      <c r="I494" t="s">
        <v>34</v>
      </c>
      <c r="J494" t="s">
        <v>35</v>
      </c>
      <c r="K494" t="s">
        <v>78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48</v>
      </c>
      <c r="T494" t="s">
        <v>49</v>
      </c>
      <c r="U494" t="s">
        <v>55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40</v>
      </c>
    </row>
    <row r="495" spans="1:28" x14ac:dyDescent="0.35">
      <c r="A495">
        <v>1493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 s="1">
        <v>46116</v>
      </c>
      <c r="H495" t="s">
        <v>75</v>
      </c>
      <c r="I495" t="s">
        <v>34</v>
      </c>
      <c r="J495" t="s">
        <v>35</v>
      </c>
      <c r="K495" t="s">
        <v>47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64</v>
      </c>
      <c r="T495" t="s">
        <v>49</v>
      </c>
      <c r="U495" t="s">
        <v>74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63</v>
      </c>
    </row>
    <row r="496" spans="1:28" x14ac:dyDescent="0.35">
      <c r="A496">
        <v>1494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s="1">
        <v>46061</v>
      </c>
      <c r="H496" t="s">
        <v>33</v>
      </c>
      <c r="I496" t="s">
        <v>57</v>
      </c>
      <c r="J496" t="s">
        <v>83</v>
      </c>
      <c r="K496" t="s">
        <v>59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48</v>
      </c>
      <c r="T496" t="s">
        <v>76</v>
      </c>
      <c r="U496" t="s">
        <v>55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40</v>
      </c>
    </row>
    <row r="497" spans="1:28" x14ac:dyDescent="0.35">
      <c r="A497">
        <v>1495</v>
      </c>
      <c r="B497" t="s">
        <v>65</v>
      </c>
      <c r="C497" t="s">
        <v>29</v>
      </c>
      <c r="D497" t="s">
        <v>66</v>
      </c>
      <c r="E497" t="s">
        <v>67</v>
      </c>
      <c r="F497" t="s">
        <v>32</v>
      </c>
      <c r="G497" s="1">
        <v>46172</v>
      </c>
      <c r="H497" t="s">
        <v>54</v>
      </c>
      <c r="I497" t="s">
        <v>69</v>
      </c>
      <c r="J497" t="s">
        <v>70</v>
      </c>
      <c r="K497" t="s">
        <v>47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64</v>
      </c>
      <c r="T497" t="s">
        <v>49</v>
      </c>
      <c r="U497" t="s">
        <v>74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63</v>
      </c>
    </row>
    <row r="498" spans="1:28" x14ac:dyDescent="0.35">
      <c r="A498">
        <v>1496</v>
      </c>
      <c r="B498" t="s">
        <v>65</v>
      </c>
      <c r="C498" t="s">
        <v>29</v>
      </c>
      <c r="D498" t="s">
        <v>66</v>
      </c>
      <c r="E498" t="s">
        <v>67</v>
      </c>
      <c r="F498" t="s">
        <v>32</v>
      </c>
      <c r="G498" s="1">
        <v>46120</v>
      </c>
      <c r="H498" t="s">
        <v>75</v>
      </c>
      <c r="I498" t="s">
        <v>34</v>
      </c>
      <c r="J498" t="s">
        <v>35</v>
      </c>
      <c r="K498" t="s">
        <v>36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64</v>
      </c>
      <c r="T498" t="s">
        <v>38</v>
      </c>
      <c r="U498" t="s">
        <v>55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79</v>
      </c>
    </row>
    <row r="499" spans="1:28" x14ac:dyDescent="0.35">
      <c r="A499">
        <v>1497</v>
      </c>
      <c r="B499" t="s">
        <v>65</v>
      </c>
      <c r="C499" t="s">
        <v>29</v>
      </c>
      <c r="D499" t="s">
        <v>66</v>
      </c>
      <c r="E499" t="s">
        <v>67</v>
      </c>
      <c r="F499" t="s">
        <v>32</v>
      </c>
      <c r="G499" s="1">
        <v>46183</v>
      </c>
      <c r="H499" t="s">
        <v>68</v>
      </c>
      <c r="I499" t="s">
        <v>57</v>
      </c>
      <c r="J499" t="s">
        <v>83</v>
      </c>
      <c r="K499" t="s">
        <v>73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37</v>
      </c>
      <c r="T499" t="s">
        <v>49</v>
      </c>
      <c r="U499" t="s">
        <v>55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79</v>
      </c>
    </row>
    <row r="500" spans="1:28" x14ac:dyDescent="0.35">
      <c r="A500">
        <v>1498</v>
      </c>
      <c r="B500" t="s">
        <v>65</v>
      </c>
      <c r="C500" t="s">
        <v>29</v>
      </c>
      <c r="D500" t="s">
        <v>66</v>
      </c>
      <c r="E500" t="s">
        <v>67</v>
      </c>
      <c r="F500" t="s">
        <v>32</v>
      </c>
      <c r="G500" s="1">
        <v>46200</v>
      </c>
      <c r="H500" t="s">
        <v>68</v>
      </c>
      <c r="I500" t="s">
        <v>57</v>
      </c>
      <c r="J500" t="s">
        <v>83</v>
      </c>
      <c r="K500" t="s">
        <v>36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48</v>
      </c>
      <c r="T500" t="s">
        <v>76</v>
      </c>
      <c r="U500" t="s">
        <v>55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40</v>
      </c>
    </row>
    <row r="501" spans="1:28" x14ac:dyDescent="0.35">
      <c r="A501">
        <v>1499</v>
      </c>
      <c r="B501" t="s">
        <v>41</v>
      </c>
      <c r="C501" t="s">
        <v>29</v>
      </c>
      <c r="D501" t="s">
        <v>42</v>
      </c>
      <c r="E501" t="s">
        <v>43</v>
      </c>
      <c r="F501" t="s">
        <v>44</v>
      </c>
      <c r="G501" s="1">
        <v>46171</v>
      </c>
      <c r="H501" t="s">
        <v>54</v>
      </c>
      <c r="I501" t="s">
        <v>69</v>
      </c>
      <c r="J501" t="s">
        <v>70</v>
      </c>
      <c r="K501" t="s">
        <v>36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37</v>
      </c>
      <c r="T501" t="s">
        <v>49</v>
      </c>
      <c r="U501" t="s">
        <v>74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40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F3D7-C4B5-4F36-875D-9EA634ED7236}">
  <dimension ref="A1:B7"/>
  <sheetViews>
    <sheetView workbookViewId="0">
      <selection activeCell="G13" sqref="G13"/>
    </sheetView>
  </sheetViews>
  <sheetFormatPr defaultRowHeight="14.5" x14ac:dyDescent="0.35"/>
  <cols>
    <col min="1" max="1" width="25.90625" customWidth="1"/>
    <col min="2" max="3" width="10.26953125" customWidth="1"/>
  </cols>
  <sheetData>
    <row r="1" spans="1:2" x14ac:dyDescent="0.35">
      <c r="A1" t="s">
        <v>84</v>
      </c>
      <c r="B1" t="s">
        <v>91</v>
      </c>
    </row>
    <row r="2" spans="1:2" x14ac:dyDescent="0.35">
      <c r="A2" t="s">
        <v>85</v>
      </c>
      <c r="B2">
        <f>SUM(Table1[Sales Amount])</f>
        <v>4892507</v>
      </c>
    </row>
    <row r="3" spans="1:2" x14ac:dyDescent="0.35">
      <c r="A3" t="s">
        <v>86</v>
      </c>
      <c r="B3">
        <f>SUM(Table1[Profit])</f>
        <v>1606196.8299999994</v>
      </c>
    </row>
    <row r="4" spans="1:2" x14ac:dyDescent="0.35">
      <c r="A4" t="s">
        <v>87</v>
      </c>
      <c r="B4">
        <f>SUM(StarbucksData!L:L)</f>
        <v>16469</v>
      </c>
    </row>
    <row r="5" spans="1:2" x14ac:dyDescent="0.35">
      <c r="A5" t="s">
        <v>88</v>
      </c>
      <c r="B5">
        <f>SUM(StarbucksData!P:P)</f>
        <v>85160</v>
      </c>
    </row>
    <row r="6" spans="1:2" x14ac:dyDescent="0.35">
      <c r="A6" t="s">
        <v>89</v>
      </c>
      <c r="B6">
        <f>AVERAGE(StarbucksData!Q:Q)</f>
        <v>4.2381999999999938</v>
      </c>
    </row>
    <row r="7" spans="1:2" x14ac:dyDescent="0.35">
      <c r="A7" t="s">
        <v>90</v>
      </c>
      <c r="B7">
        <f>COUNTA(Table1[Store Name])</f>
        <v>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6661-AFE3-429A-B7A4-35BE0B014D12}">
  <dimension ref="A1:I261"/>
  <sheetViews>
    <sheetView tabSelected="1" topLeftCell="G1" zoomScale="91" zoomScaleNormal="80" workbookViewId="0">
      <selection activeCell="AI19" sqref="AI19"/>
    </sheetView>
  </sheetViews>
  <sheetFormatPr defaultRowHeight="14.5" x14ac:dyDescent="0.35"/>
  <cols>
    <col min="1" max="1" width="12.36328125" bestFit="1" customWidth="1"/>
    <col min="2" max="2" width="18.7265625" bestFit="1" customWidth="1"/>
    <col min="4" max="4" width="12.36328125" bestFit="1" customWidth="1"/>
    <col min="5" max="5" width="17.6328125" bestFit="1" customWidth="1"/>
    <col min="6" max="6" width="23.36328125" bestFit="1" customWidth="1"/>
    <col min="7" max="7" width="23" bestFit="1" customWidth="1"/>
    <col min="8" max="8" width="24.08984375" bestFit="1" customWidth="1"/>
    <col min="9" max="9" width="10.7265625" bestFit="1" customWidth="1"/>
    <col min="11" max="11" width="12.36328125" bestFit="1" customWidth="1"/>
    <col min="12" max="12" width="18.7265625" bestFit="1" customWidth="1"/>
  </cols>
  <sheetData>
    <row r="1" spans="1:9" x14ac:dyDescent="0.35">
      <c r="A1" s="2" t="s">
        <v>92</v>
      </c>
      <c r="B1" t="s">
        <v>94</v>
      </c>
      <c r="D1" s="2" t="s">
        <v>92</v>
      </c>
      <c r="E1" t="s">
        <v>94</v>
      </c>
    </row>
    <row r="2" spans="1:9" x14ac:dyDescent="0.35">
      <c r="A2" s="3" t="s">
        <v>57</v>
      </c>
      <c r="B2">
        <v>1273672</v>
      </c>
      <c r="D2" s="3" t="s">
        <v>42</v>
      </c>
      <c r="E2">
        <v>862464</v>
      </c>
    </row>
    <row r="3" spans="1:9" x14ac:dyDescent="0.35">
      <c r="A3" s="3" t="s">
        <v>80</v>
      </c>
      <c r="B3">
        <v>1200282</v>
      </c>
      <c r="D3" s="3" t="s">
        <v>30</v>
      </c>
      <c r="E3">
        <v>991350</v>
      </c>
    </row>
    <row r="4" spans="1:9" x14ac:dyDescent="0.35">
      <c r="A4" s="3" t="s">
        <v>34</v>
      </c>
      <c r="B4">
        <v>1344027</v>
      </c>
      <c r="D4" s="3" t="s">
        <v>66</v>
      </c>
      <c r="E4">
        <v>868822</v>
      </c>
    </row>
    <row r="5" spans="1:9" x14ac:dyDescent="0.35">
      <c r="A5" s="3" t="s">
        <v>69</v>
      </c>
      <c r="B5">
        <v>1074526</v>
      </c>
      <c r="D5" s="3" t="s">
        <v>51</v>
      </c>
      <c r="E5">
        <v>1234477</v>
      </c>
    </row>
    <row r="6" spans="1:9" x14ac:dyDescent="0.35">
      <c r="A6" s="3" t="s">
        <v>93</v>
      </c>
      <c r="B6">
        <v>4892507</v>
      </c>
      <c r="D6" s="3" t="s">
        <v>61</v>
      </c>
      <c r="E6">
        <v>935394</v>
      </c>
    </row>
    <row r="7" spans="1:9" x14ac:dyDescent="0.35">
      <c r="D7" s="3" t="s">
        <v>93</v>
      </c>
      <c r="E7">
        <v>4892507</v>
      </c>
    </row>
    <row r="8" spans="1:9" x14ac:dyDescent="0.35">
      <c r="A8" s="2" t="s">
        <v>92</v>
      </c>
      <c r="B8" t="s">
        <v>94</v>
      </c>
    </row>
    <row r="9" spans="1:9" x14ac:dyDescent="0.35">
      <c r="A9" s="3" t="s">
        <v>37</v>
      </c>
      <c r="B9">
        <v>1579183</v>
      </c>
      <c r="D9" s="2" t="s">
        <v>94</v>
      </c>
      <c r="E9" s="2" t="s">
        <v>96</v>
      </c>
    </row>
    <row r="10" spans="1:9" x14ac:dyDescent="0.35">
      <c r="A10" s="3" t="s">
        <v>64</v>
      </c>
      <c r="B10">
        <v>1480762</v>
      </c>
      <c r="D10" s="2" t="s">
        <v>92</v>
      </c>
      <c r="E10" t="s">
        <v>57</v>
      </c>
      <c r="F10" t="s">
        <v>80</v>
      </c>
      <c r="G10" t="s">
        <v>34</v>
      </c>
      <c r="H10" t="s">
        <v>69</v>
      </c>
      <c r="I10" t="s">
        <v>93</v>
      </c>
    </row>
    <row r="11" spans="1:9" x14ac:dyDescent="0.35">
      <c r="A11" s="3" t="s">
        <v>48</v>
      </c>
      <c r="B11">
        <v>1832562</v>
      </c>
      <c r="D11" s="3" t="s">
        <v>46</v>
      </c>
      <c r="G11">
        <v>610570</v>
      </c>
      <c r="I11">
        <v>610570</v>
      </c>
    </row>
    <row r="12" spans="1:9" x14ac:dyDescent="0.35">
      <c r="A12" s="3" t="s">
        <v>93</v>
      </c>
      <c r="B12">
        <v>4892507</v>
      </c>
      <c r="D12" s="3" t="s">
        <v>70</v>
      </c>
      <c r="H12">
        <v>503788</v>
      </c>
      <c r="I12">
        <v>503788</v>
      </c>
    </row>
    <row r="13" spans="1:9" x14ac:dyDescent="0.35">
      <c r="D13" s="3" t="s">
        <v>81</v>
      </c>
      <c r="F13">
        <v>599757</v>
      </c>
      <c r="I13">
        <v>599757</v>
      </c>
    </row>
    <row r="14" spans="1:9" x14ac:dyDescent="0.35">
      <c r="A14" s="2" t="s">
        <v>92</v>
      </c>
      <c r="B14" t="s">
        <v>94</v>
      </c>
      <c r="D14" s="3" t="s">
        <v>83</v>
      </c>
      <c r="E14">
        <v>606087</v>
      </c>
      <c r="I14">
        <v>606087</v>
      </c>
    </row>
    <row r="15" spans="1:9" x14ac:dyDescent="0.35">
      <c r="A15" s="3" t="s">
        <v>45</v>
      </c>
      <c r="B15">
        <v>773789</v>
      </c>
      <c r="D15" s="3" t="s">
        <v>77</v>
      </c>
      <c r="G15">
        <v>359737</v>
      </c>
      <c r="I15">
        <v>359737</v>
      </c>
    </row>
    <row r="16" spans="1:9" x14ac:dyDescent="0.35">
      <c r="A16" s="3" t="s">
        <v>33</v>
      </c>
      <c r="B16">
        <v>850445</v>
      </c>
      <c r="D16" s="3" t="s">
        <v>82</v>
      </c>
      <c r="F16">
        <v>600525</v>
      </c>
      <c r="I16">
        <v>600525</v>
      </c>
    </row>
    <row r="17" spans="1:9" x14ac:dyDescent="0.35">
      <c r="A17" s="3" t="s">
        <v>71</v>
      </c>
      <c r="B17">
        <v>877716</v>
      </c>
      <c r="D17" s="3" t="s">
        <v>72</v>
      </c>
      <c r="H17">
        <v>570738</v>
      </c>
      <c r="I17">
        <v>570738</v>
      </c>
    </row>
    <row r="18" spans="1:9" x14ac:dyDescent="0.35">
      <c r="A18" s="3" t="s">
        <v>75</v>
      </c>
      <c r="B18">
        <v>784217</v>
      </c>
      <c r="D18" s="3" t="s">
        <v>35</v>
      </c>
      <c r="G18">
        <v>373720</v>
      </c>
      <c r="I18">
        <v>373720</v>
      </c>
    </row>
    <row r="19" spans="1:9" x14ac:dyDescent="0.35">
      <c r="A19" s="3" t="s">
        <v>54</v>
      </c>
      <c r="B19">
        <v>669226</v>
      </c>
      <c r="D19" s="3" t="s">
        <v>58</v>
      </c>
      <c r="E19">
        <v>667585</v>
      </c>
      <c r="I19">
        <v>667585</v>
      </c>
    </row>
    <row r="20" spans="1:9" x14ac:dyDescent="0.35">
      <c r="A20" s="3" t="s">
        <v>68</v>
      </c>
      <c r="B20">
        <v>937114</v>
      </c>
      <c r="D20" s="3" t="s">
        <v>93</v>
      </c>
      <c r="E20">
        <v>1273672</v>
      </c>
      <c r="F20">
        <v>1200282</v>
      </c>
      <c r="G20">
        <v>1344027</v>
      </c>
      <c r="H20">
        <v>1074526</v>
      </c>
      <c r="I20">
        <v>4892507</v>
      </c>
    </row>
    <row r="21" spans="1:9" x14ac:dyDescent="0.35">
      <c r="A21" s="3" t="s">
        <v>93</v>
      </c>
      <c r="B21">
        <v>4892507</v>
      </c>
    </row>
    <row r="22" spans="1:9" x14ac:dyDescent="0.35">
      <c r="D22" s="2" t="s">
        <v>92</v>
      </c>
      <c r="E22" t="s">
        <v>102</v>
      </c>
      <c r="F22" t="s">
        <v>103</v>
      </c>
      <c r="G22" t="s">
        <v>104</v>
      </c>
      <c r="H22" t="s">
        <v>105</v>
      </c>
    </row>
    <row r="23" spans="1:9" x14ac:dyDescent="0.35">
      <c r="A23" s="2" t="s">
        <v>92</v>
      </c>
      <c r="B23" t="s">
        <v>95</v>
      </c>
      <c r="D23" s="3" t="s">
        <v>97</v>
      </c>
      <c r="E23">
        <v>9661.9210526315783</v>
      </c>
      <c r="F23">
        <v>12790.881578947368</v>
      </c>
      <c r="G23">
        <v>8459.6973684210534</v>
      </c>
      <c r="H23">
        <v>10618.578947368422</v>
      </c>
    </row>
    <row r="24" spans="1:9" x14ac:dyDescent="0.35">
      <c r="A24" s="3">
        <v>40</v>
      </c>
      <c r="B24">
        <v>9812</v>
      </c>
      <c r="D24" s="3" t="s">
        <v>98</v>
      </c>
      <c r="E24">
        <v>10138.172839506173</v>
      </c>
      <c r="F24">
        <v>13267.58024691358</v>
      </c>
      <c r="G24">
        <v>8848.6543209876545</v>
      </c>
      <c r="H24">
        <v>10728.530864197532</v>
      </c>
    </row>
    <row r="25" spans="1:9" x14ac:dyDescent="0.35">
      <c r="A25" s="3">
        <v>41</v>
      </c>
      <c r="B25">
        <v>2500</v>
      </c>
      <c r="D25" s="3" t="s">
        <v>99</v>
      </c>
      <c r="E25">
        <v>10292.752688172042</v>
      </c>
      <c r="F25">
        <v>13292.946236559139</v>
      </c>
      <c r="G25">
        <v>8938.5483870967746</v>
      </c>
      <c r="H25">
        <v>10921.376344086022</v>
      </c>
    </row>
    <row r="26" spans="1:9" x14ac:dyDescent="0.35">
      <c r="A26" s="3">
        <v>42</v>
      </c>
      <c r="B26">
        <v>2030</v>
      </c>
      <c r="D26" s="3" t="s">
        <v>100</v>
      </c>
      <c r="E26">
        <v>10464.559523809523</v>
      </c>
      <c r="F26">
        <v>13581.761904761905</v>
      </c>
      <c r="G26">
        <v>9200.8095238095229</v>
      </c>
      <c r="H26">
        <v>11480.571428571429</v>
      </c>
    </row>
    <row r="27" spans="1:9" x14ac:dyDescent="0.35">
      <c r="A27" s="3">
        <v>43</v>
      </c>
      <c r="B27">
        <v>12768</v>
      </c>
      <c r="D27" s="3" t="s">
        <v>54</v>
      </c>
      <c r="E27">
        <v>9782.7887323943669</v>
      </c>
      <c r="F27">
        <v>12918.915492957747</v>
      </c>
      <c r="G27">
        <v>8564.9718309859163</v>
      </c>
      <c r="H27">
        <v>10800.211267605633</v>
      </c>
    </row>
    <row r="28" spans="1:9" x14ac:dyDescent="0.35">
      <c r="A28" s="3">
        <v>44</v>
      </c>
      <c r="B28">
        <v>5548.5</v>
      </c>
      <c r="D28" s="3" t="s">
        <v>101</v>
      </c>
      <c r="E28">
        <v>10442.768421052631</v>
      </c>
      <c r="F28">
        <v>13305.621052631579</v>
      </c>
      <c r="G28">
        <v>9250.6842105263149</v>
      </c>
      <c r="H28">
        <v>11322.863157894737</v>
      </c>
    </row>
    <row r="29" spans="1:9" x14ac:dyDescent="0.35">
      <c r="A29" s="3">
        <v>45</v>
      </c>
      <c r="B29">
        <v>12948</v>
      </c>
      <c r="D29" s="3" t="s">
        <v>93</v>
      </c>
      <c r="E29">
        <v>10156.776</v>
      </c>
      <c r="F29">
        <v>13210.34</v>
      </c>
      <c r="G29">
        <v>8901.518</v>
      </c>
      <c r="H29">
        <v>10997.132</v>
      </c>
    </row>
    <row r="30" spans="1:9" x14ac:dyDescent="0.35">
      <c r="A30" s="3">
        <v>46</v>
      </c>
      <c r="B30">
        <v>10967.6</v>
      </c>
    </row>
    <row r="31" spans="1:9" x14ac:dyDescent="0.35">
      <c r="A31" s="3">
        <v>47</v>
      </c>
      <c r="B31">
        <v>11347</v>
      </c>
      <c r="D31" s="2" t="s">
        <v>92</v>
      </c>
      <c r="E31" t="s">
        <v>106</v>
      </c>
    </row>
    <row r="32" spans="1:9" x14ac:dyDescent="0.35">
      <c r="A32" s="3">
        <v>48</v>
      </c>
      <c r="B32">
        <v>3527</v>
      </c>
      <c r="D32" s="3" t="s">
        <v>40</v>
      </c>
      <c r="E32">
        <v>124</v>
      </c>
    </row>
    <row r="33" spans="1:5" x14ac:dyDescent="0.35">
      <c r="A33" s="3">
        <v>49</v>
      </c>
      <c r="B33">
        <v>4983.5</v>
      </c>
      <c r="D33" s="3" t="s">
        <v>79</v>
      </c>
      <c r="E33">
        <v>135</v>
      </c>
    </row>
    <row r="34" spans="1:5" x14ac:dyDescent="0.35">
      <c r="A34" s="3">
        <v>50</v>
      </c>
      <c r="B34">
        <v>11044</v>
      </c>
      <c r="D34" s="3" t="s">
        <v>63</v>
      </c>
      <c r="E34">
        <v>131</v>
      </c>
    </row>
    <row r="35" spans="1:5" x14ac:dyDescent="0.35">
      <c r="A35" s="3">
        <v>51</v>
      </c>
      <c r="B35">
        <v>17192</v>
      </c>
      <c r="D35" s="3" t="s">
        <v>56</v>
      </c>
      <c r="E35">
        <v>110</v>
      </c>
    </row>
    <row r="36" spans="1:5" x14ac:dyDescent="0.35">
      <c r="A36" s="3">
        <v>52</v>
      </c>
      <c r="B36">
        <v>9766.5</v>
      </c>
      <c r="D36" s="3" t="s">
        <v>93</v>
      </c>
      <c r="E36">
        <v>500</v>
      </c>
    </row>
    <row r="37" spans="1:5" x14ac:dyDescent="0.35">
      <c r="A37" s="3">
        <v>53</v>
      </c>
      <c r="B37">
        <v>4161</v>
      </c>
    </row>
    <row r="38" spans="1:5" x14ac:dyDescent="0.35">
      <c r="A38" s="3">
        <v>54</v>
      </c>
      <c r="B38">
        <v>12044.666666666666</v>
      </c>
      <c r="D38" s="3">
        <v>40</v>
      </c>
      <c r="E38">
        <v>9812</v>
      </c>
    </row>
    <row r="39" spans="1:5" x14ac:dyDescent="0.35">
      <c r="A39" s="3">
        <v>55</v>
      </c>
      <c r="B39">
        <v>9284</v>
      </c>
      <c r="D39" s="3">
        <v>41</v>
      </c>
      <c r="E39">
        <v>2500</v>
      </c>
    </row>
    <row r="40" spans="1:5" x14ac:dyDescent="0.35">
      <c r="A40" s="3">
        <v>57</v>
      </c>
      <c r="B40">
        <v>10005</v>
      </c>
      <c r="D40" s="3">
        <v>42</v>
      </c>
      <c r="E40">
        <v>2030</v>
      </c>
    </row>
    <row r="41" spans="1:5" x14ac:dyDescent="0.35">
      <c r="A41" s="3">
        <v>58</v>
      </c>
      <c r="B41">
        <v>10933.25</v>
      </c>
      <c r="D41" s="3">
        <v>43</v>
      </c>
      <c r="E41">
        <v>12768</v>
      </c>
    </row>
    <row r="42" spans="1:5" x14ac:dyDescent="0.35">
      <c r="A42" s="3">
        <v>59</v>
      </c>
      <c r="B42">
        <v>6541</v>
      </c>
      <c r="D42" s="3">
        <v>44</v>
      </c>
      <c r="E42">
        <v>5548.5</v>
      </c>
    </row>
    <row r="43" spans="1:5" x14ac:dyDescent="0.35">
      <c r="A43" s="3">
        <v>60</v>
      </c>
      <c r="B43">
        <v>12240</v>
      </c>
      <c r="D43" s="3">
        <v>45</v>
      </c>
      <c r="E43">
        <v>12948</v>
      </c>
    </row>
    <row r="44" spans="1:5" x14ac:dyDescent="0.35">
      <c r="A44" s="3">
        <v>61</v>
      </c>
      <c r="B44">
        <v>9406</v>
      </c>
      <c r="D44" s="3">
        <v>46</v>
      </c>
      <c r="E44">
        <v>10967.6</v>
      </c>
    </row>
    <row r="45" spans="1:5" x14ac:dyDescent="0.35">
      <c r="A45" s="3">
        <v>62</v>
      </c>
      <c r="B45">
        <v>7202</v>
      </c>
      <c r="D45" s="3">
        <v>47</v>
      </c>
      <c r="E45">
        <v>11347</v>
      </c>
    </row>
    <row r="46" spans="1:5" x14ac:dyDescent="0.35">
      <c r="A46" s="3">
        <v>63</v>
      </c>
      <c r="B46">
        <v>13926</v>
      </c>
      <c r="D46" s="3">
        <v>48</v>
      </c>
      <c r="E46">
        <v>3527</v>
      </c>
    </row>
    <row r="47" spans="1:5" x14ac:dyDescent="0.35">
      <c r="A47" s="3">
        <v>65</v>
      </c>
      <c r="B47">
        <v>5415</v>
      </c>
      <c r="D47" s="3">
        <v>49</v>
      </c>
      <c r="E47">
        <v>4983.5</v>
      </c>
    </row>
    <row r="48" spans="1:5" x14ac:dyDescent="0.35">
      <c r="A48" s="3">
        <v>66</v>
      </c>
      <c r="B48">
        <v>14331.75</v>
      </c>
      <c r="D48" s="3">
        <v>50</v>
      </c>
      <c r="E48">
        <v>11044</v>
      </c>
    </row>
    <row r="49" spans="1:5" x14ac:dyDescent="0.35">
      <c r="A49" s="3">
        <v>67</v>
      </c>
      <c r="B49">
        <v>8170</v>
      </c>
      <c r="D49" s="3">
        <v>51</v>
      </c>
      <c r="E49">
        <v>17192</v>
      </c>
    </row>
    <row r="50" spans="1:5" x14ac:dyDescent="0.35">
      <c r="A50" s="3">
        <v>68</v>
      </c>
      <c r="B50">
        <v>11655.5</v>
      </c>
      <c r="D50" s="3">
        <v>52</v>
      </c>
      <c r="E50">
        <v>9766.5</v>
      </c>
    </row>
    <row r="51" spans="1:5" x14ac:dyDescent="0.35">
      <c r="A51" s="3">
        <v>69</v>
      </c>
      <c r="B51">
        <v>6173</v>
      </c>
      <c r="D51" s="3">
        <v>53</v>
      </c>
      <c r="E51">
        <v>4161</v>
      </c>
    </row>
    <row r="52" spans="1:5" x14ac:dyDescent="0.35">
      <c r="A52" s="3">
        <v>70</v>
      </c>
      <c r="B52">
        <v>3927</v>
      </c>
      <c r="D52" s="3">
        <v>54</v>
      </c>
      <c r="E52">
        <v>12044.666666666666</v>
      </c>
    </row>
    <row r="53" spans="1:5" x14ac:dyDescent="0.35">
      <c r="A53" s="3">
        <v>71</v>
      </c>
      <c r="B53">
        <v>10012.5</v>
      </c>
      <c r="D53" s="3">
        <v>55</v>
      </c>
      <c r="E53">
        <v>9284</v>
      </c>
    </row>
    <row r="54" spans="1:5" x14ac:dyDescent="0.35">
      <c r="A54" s="3">
        <v>72</v>
      </c>
      <c r="B54">
        <v>9751.75</v>
      </c>
      <c r="D54" s="3">
        <v>57</v>
      </c>
      <c r="E54">
        <v>10005</v>
      </c>
    </row>
    <row r="55" spans="1:5" x14ac:dyDescent="0.35">
      <c r="A55" s="3">
        <v>73</v>
      </c>
      <c r="B55">
        <v>18156</v>
      </c>
      <c r="D55" s="3">
        <v>58</v>
      </c>
      <c r="E55">
        <v>10933.25</v>
      </c>
    </row>
    <row r="56" spans="1:5" x14ac:dyDescent="0.35">
      <c r="A56" s="3">
        <v>74</v>
      </c>
      <c r="B56">
        <v>17466</v>
      </c>
      <c r="D56" s="3">
        <v>59</v>
      </c>
      <c r="E56">
        <v>6541</v>
      </c>
    </row>
    <row r="57" spans="1:5" x14ac:dyDescent="0.35">
      <c r="A57" s="3">
        <v>75</v>
      </c>
      <c r="B57">
        <v>4945</v>
      </c>
      <c r="D57" s="3">
        <v>60</v>
      </c>
      <c r="E57">
        <v>12240</v>
      </c>
    </row>
    <row r="58" spans="1:5" x14ac:dyDescent="0.35">
      <c r="A58" s="3">
        <v>76</v>
      </c>
      <c r="B58">
        <v>9030.3333333333339</v>
      </c>
      <c r="D58" s="3">
        <v>61</v>
      </c>
      <c r="E58">
        <v>9406</v>
      </c>
    </row>
    <row r="59" spans="1:5" x14ac:dyDescent="0.35">
      <c r="A59" s="3">
        <v>77</v>
      </c>
      <c r="B59">
        <v>15186.5</v>
      </c>
      <c r="D59" s="3">
        <v>62</v>
      </c>
      <c r="E59">
        <v>7202</v>
      </c>
    </row>
    <row r="60" spans="1:5" x14ac:dyDescent="0.35">
      <c r="A60" s="3">
        <v>78</v>
      </c>
      <c r="B60">
        <v>9862</v>
      </c>
      <c r="D60" s="3">
        <v>63</v>
      </c>
      <c r="E60">
        <v>13926</v>
      </c>
    </row>
    <row r="61" spans="1:5" x14ac:dyDescent="0.35">
      <c r="A61" s="3">
        <v>80</v>
      </c>
      <c r="B61">
        <v>7531.5</v>
      </c>
      <c r="D61" s="3">
        <v>65</v>
      </c>
      <c r="E61">
        <v>5415</v>
      </c>
    </row>
    <row r="62" spans="1:5" x14ac:dyDescent="0.35">
      <c r="A62" s="3">
        <v>81</v>
      </c>
      <c r="B62">
        <v>4874.666666666667</v>
      </c>
      <c r="D62" s="3">
        <v>66</v>
      </c>
      <c r="E62">
        <v>14331.75</v>
      </c>
    </row>
    <row r="63" spans="1:5" x14ac:dyDescent="0.35">
      <c r="A63" s="3">
        <v>82</v>
      </c>
      <c r="B63">
        <v>9939.6666666666661</v>
      </c>
      <c r="D63" s="3">
        <v>67</v>
      </c>
      <c r="E63">
        <v>8170</v>
      </c>
    </row>
    <row r="64" spans="1:5" x14ac:dyDescent="0.35">
      <c r="A64" s="3">
        <v>83</v>
      </c>
      <c r="B64">
        <v>9412</v>
      </c>
      <c r="D64" s="3">
        <v>68</v>
      </c>
      <c r="E64">
        <v>11655.5</v>
      </c>
    </row>
    <row r="65" spans="1:5" x14ac:dyDescent="0.35">
      <c r="A65" s="3">
        <v>85</v>
      </c>
      <c r="B65">
        <v>4598</v>
      </c>
      <c r="D65" s="3">
        <v>69</v>
      </c>
      <c r="E65">
        <v>6173</v>
      </c>
    </row>
    <row r="66" spans="1:5" x14ac:dyDescent="0.35">
      <c r="A66" s="3">
        <v>86</v>
      </c>
      <c r="B66">
        <v>10510.5</v>
      </c>
      <c r="D66" s="3">
        <v>70</v>
      </c>
      <c r="E66">
        <v>3927</v>
      </c>
    </row>
    <row r="67" spans="1:5" x14ac:dyDescent="0.35">
      <c r="A67" s="3">
        <v>87</v>
      </c>
      <c r="B67">
        <v>9620</v>
      </c>
      <c r="D67" s="3">
        <v>71</v>
      </c>
      <c r="E67">
        <v>10012.5</v>
      </c>
    </row>
    <row r="68" spans="1:5" x14ac:dyDescent="0.35">
      <c r="A68" s="3">
        <v>89</v>
      </c>
      <c r="B68">
        <v>6161</v>
      </c>
      <c r="D68" s="3">
        <v>72</v>
      </c>
      <c r="E68">
        <v>9751.75</v>
      </c>
    </row>
    <row r="69" spans="1:5" x14ac:dyDescent="0.35">
      <c r="A69" s="3">
        <v>90</v>
      </c>
      <c r="B69">
        <v>12146.75</v>
      </c>
      <c r="D69" s="3">
        <v>73</v>
      </c>
      <c r="E69">
        <v>18156</v>
      </c>
    </row>
    <row r="70" spans="1:5" x14ac:dyDescent="0.35">
      <c r="A70" s="3">
        <v>92</v>
      </c>
      <c r="B70">
        <v>9990</v>
      </c>
      <c r="D70" s="3">
        <v>74</v>
      </c>
      <c r="E70">
        <v>17466</v>
      </c>
    </row>
    <row r="71" spans="1:5" x14ac:dyDescent="0.35">
      <c r="A71" s="3">
        <v>94</v>
      </c>
      <c r="B71">
        <v>4452</v>
      </c>
      <c r="D71" s="3">
        <v>75</v>
      </c>
      <c r="E71">
        <v>4945</v>
      </c>
    </row>
    <row r="72" spans="1:5" x14ac:dyDescent="0.35">
      <c r="A72" s="3">
        <v>95</v>
      </c>
      <c r="B72">
        <v>12294</v>
      </c>
      <c r="D72" s="3">
        <v>76</v>
      </c>
      <c r="E72">
        <v>9030.3333333333339</v>
      </c>
    </row>
    <row r="73" spans="1:5" x14ac:dyDescent="0.35">
      <c r="A73" s="3">
        <v>96</v>
      </c>
      <c r="B73">
        <v>10063.5</v>
      </c>
      <c r="D73" s="3">
        <v>77</v>
      </c>
      <c r="E73">
        <v>15186.5</v>
      </c>
    </row>
    <row r="74" spans="1:5" x14ac:dyDescent="0.35">
      <c r="A74" s="3">
        <v>98</v>
      </c>
      <c r="B74">
        <v>6276</v>
      </c>
      <c r="D74" s="3">
        <v>78</v>
      </c>
      <c r="E74">
        <v>9862</v>
      </c>
    </row>
    <row r="75" spans="1:5" x14ac:dyDescent="0.35">
      <c r="A75" s="3">
        <v>99</v>
      </c>
      <c r="B75">
        <v>8686</v>
      </c>
      <c r="D75" s="3">
        <v>80</v>
      </c>
      <c r="E75">
        <v>7531.5</v>
      </c>
    </row>
    <row r="76" spans="1:5" x14ac:dyDescent="0.35">
      <c r="A76" s="3">
        <v>100</v>
      </c>
      <c r="B76">
        <v>6791.5</v>
      </c>
      <c r="D76" s="3">
        <v>81</v>
      </c>
      <c r="E76">
        <v>4874.666666666667</v>
      </c>
    </row>
    <row r="77" spans="1:5" x14ac:dyDescent="0.35">
      <c r="A77" s="3">
        <v>101</v>
      </c>
      <c r="B77">
        <v>9303.25</v>
      </c>
      <c r="D77" s="3">
        <v>82</v>
      </c>
      <c r="E77">
        <v>9939.6666666666661</v>
      </c>
    </row>
    <row r="78" spans="1:5" x14ac:dyDescent="0.35">
      <c r="A78" s="3">
        <v>102</v>
      </c>
      <c r="B78">
        <v>6046.5</v>
      </c>
      <c r="D78" s="3">
        <v>83</v>
      </c>
      <c r="E78">
        <v>9412</v>
      </c>
    </row>
    <row r="79" spans="1:5" x14ac:dyDescent="0.35">
      <c r="A79" s="3">
        <v>103</v>
      </c>
      <c r="B79">
        <v>9393</v>
      </c>
      <c r="D79" s="3">
        <v>85</v>
      </c>
      <c r="E79">
        <v>4598</v>
      </c>
    </row>
    <row r="80" spans="1:5" x14ac:dyDescent="0.35">
      <c r="A80" s="3">
        <v>104</v>
      </c>
      <c r="B80">
        <v>9031.5</v>
      </c>
      <c r="D80" s="3">
        <v>86</v>
      </c>
      <c r="E80">
        <v>10510.5</v>
      </c>
    </row>
    <row r="81" spans="1:5" x14ac:dyDescent="0.35">
      <c r="A81" s="3">
        <v>105</v>
      </c>
      <c r="B81">
        <v>12774</v>
      </c>
      <c r="D81" s="3">
        <v>87</v>
      </c>
      <c r="E81">
        <v>9620</v>
      </c>
    </row>
    <row r="82" spans="1:5" x14ac:dyDescent="0.35">
      <c r="A82" s="3">
        <v>106</v>
      </c>
      <c r="B82">
        <v>12472.666666666666</v>
      </c>
      <c r="D82" s="3">
        <v>89</v>
      </c>
      <c r="E82">
        <v>6161</v>
      </c>
    </row>
    <row r="83" spans="1:5" x14ac:dyDescent="0.35">
      <c r="A83" s="3">
        <v>107</v>
      </c>
      <c r="B83">
        <v>3264</v>
      </c>
      <c r="D83" s="3">
        <v>90</v>
      </c>
      <c r="E83">
        <v>12146.75</v>
      </c>
    </row>
    <row r="84" spans="1:5" x14ac:dyDescent="0.35">
      <c r="A84" s="3">
        <v>108</v>
      </c>
      <c r="B84">
        <v>15950</v>
      </c>
      <c r="D84" s="3">
        <v>92</v>
      </c>
      <c r="E84">
        <v>9990</v>
      </c>
    </row>
    <row r="85" spans="1:5" x14ac:dyDescent="0.35">
      <c r="A85" s="3">
        <v>109</v>
      </c>
      <c r="B85">
        <v>14197</v>
      </c>
      <c r="D85" s="3">
        <v>94</v>
      </c>
      <c r="E85">
        <v>4452</v>
      </c>
    </row>
    <row r="86" spans="1:5" x14ac:dyDescent="0.35">
      <c r="A86" s="3">
        <v>110</v>
      </c>
      <c r="B86">
        <v>4736</v>
      </c>
      <c r="D86" s="3">
        <v>95</v>
      </c>
      <c r="E86">
        <v>12294</v>
      </c>
    </row>
    <row r="87" spans="1:5" x14ac:dyDescent="0.35">
      <c r="A87" s="3">
        <v>112</v>
      </c>
      <c r="B87">
        <v>10428.666666666666</v>
      </c>
      <c r="D87" s="3">
        <v>96</v>
      </c>
      <c r="E87">
        <v>10063.5</v>
      </c>
    </row>
    <row r="88" spans="1:5" x14ac:dyDescent="0.35">
      <c r="A88" s="3">
        <v>113</v>
      </c>
      <c r="B88">
        <v>9531.4</v>
      </c>
      <c r="D88" s="3">
        <v>98</v>
      </c>
      <c r="E88">
        <v>6276</v>
      </c>
    </row>
    <row r="89" spans="1:5" x14ac:dyDescent="0.35">
      <c r="A89" s="3">
        <v>114</v>
      </c>
      <c r="B89">
        <v>20436</v>
      </c>
      <c r="D89" s="3">
        <v>99</v>
      </c>
      <c r="E89">
        <v>8686</v>
      </c>
    </row>
    <row r="90" spans="1:5" x14ac:dyDescent="0.35">
      <c r="A90" s="3">
        <v>115</v>
      </c>
      <c r="B90">
        <v>14074.5</v>
      </c>
      <c r="D90" s="3">
        <v>100</v>
      </c>
      <c r="E90">
        <v>6791.5</v>
      </c>
    </row>
    <row r="91" spans="1:5" x14ac:dyDescent="0.35">
      <c r="A91" s="3">
        <v>117</v>
      </c>
      <c r="B91">
        <v>13540</v>
      </c>
      <c r="D91" s="3">
        <v>101</v>
      </c>
      <c r="E91">
        <v>9303.25</v>
      </c>
    </row>
    <row r="92" spans="1:5" x14ac:dyDescent="0.35">
      <c r="A92" s="3">
        <v>118</v>
      </c>
      <c r="B92">
        <v>15022</v>
      </c>
      <c r="D92" s="3">
        <v>102</v>
      </c>
      <c r="E92">
        <v>6046.5</v>
      </c>
    </row>
    <row r="93" spans="1:5" x14ac:dyDescent="0.35">
      <c r="A93" s="3">
        <v>119</v>
      </c>
      <c r="B93">
        <v>6572</v>
      </c>
      <c r="D93" s="3">
        <v>103</v>
      </c>
      <c r="E93">
        <v>9393</v>
      </c>
    </row>
    <row r="94" spans="1:5" x14ac:dyDescent="0.35">
      <c r="A94" s="3">
        <v>120</v>
      </c>
      <c r="B94">
        <v>11741</v>
      </c>
      <c r="D94" s="3">
        <v>104</v>
      </c>
      <c r="E94">
        <v>9031.5</v>
      </c>
    </row>
    <row r="95" spans="1:5" x14ac:dyDescent="0.35">
      <c r="A95" s="3">
        <v>121</v>
      </c>
      <c r="B95">
        <v>11000</v>
      </c>
      <c r="D95" s="3">
        <v>105</v>
      </c>
      <c r="E95">
        <v>12774</v>
      </c>
    </row>
    <row r="96" spans="1:5" x14ac:dyDescent="0.35">
      <c r="A96" s="3">
        <v>122</v>
      </c>
      <c r="B96">
        <v>2796.5</v>
      </c>
      <c r="D96" s="3">
        <v>106</v>
      </c>
      <c r="E96">
        <v>12472.666666666666</v>
      </c>
    </row>
    <row r="97" spans="1:5" x14ac:dyDescent="0.35">
      <c r="A97" s="3">
        <v>123</v>
      </c>
      <c r="B97">
        <v>10650</v>
      </c>
      <c r="D97" s="3">
        <v>107</v>
      </c>
      <c r="E97">
        <v>3264</v>
      </c>
    </row>
    <row r="98" spans="1:5" x14ac:dyDescent="0.35">
      <c r="A98" s="3">
        <v>124</v>
      </c>
      <c r="B98">
        <v>9882</v>
      </c>
      <c r="D98" s="3">
        <v>108</v>
      </c>
      <c r="E98">
        <v>15950</v>
      </c>
    </row>
    <row r="99" spans="1:5" x14ac:dyDescent="0.35">
      <c r="A99" s="3">
        <v>125</v>
      </c>
      <c r="B99">
        <v>1935</v>
      </c>
      <c r="D99" s="3">
        <v>109</v>
      </c>
      <c r="E99">
        <v>14197</v>
      </c>
    </row>
    <row r="100" spans="1:5" x14ac:dyDescent="0.35">
      <c r="A100" s="3">
        <v>126</v>
      </c>
      <c r="B100">
        <v>5487.666666666667</v>
      </c>
      <c r="D100" s="3">
        <v>110</v>
      </c>
      <c r="E100">
        <v>4736</v>
      </c>
    </row>
    <row r="101" spans="1:5" x14ac:dyDescent="0.35">
      <c r="A101" s="3">
        <v>127</v>
      </c>
      <c r="B101">
        <v>9519</v>
      </c>
      <c r="D101" s="3">
        <v>112</v>
      </c>
      <c r="E101">
        <v>10428.666666666666</v>
      </c>
    </row>
    <row r="102" spans="1:5" x14ac:dyDescent="0.35">
      <c r="A102" s="3">
        <v>128</v>
      </c>
      <c r="B102">
        <v>8061</v>
      </c>
      <c r="D102" s="3">
        <v>113</v>
      </c>
      <c r="E102">
        <v>9531.4</v>
      </c>
    </row>
    <row r="103" spans="1:5" x14ac:dyDescent="0.35">
      <c r="A103" s="3">
        <v>129</v>
      </c>
      <c r="B103">
        <v>6582</v>
      </c>
      <c r="D103" s="3">
        <v>114</v>
      </c>
      <c r="E103">
        <v>20436</v>
      </c>
    </row>
    <row r="104" spans="1:5" x14ac:dyDescent="0.35">
      <c r="A104" s="3">
        <v>130</v>
      </c>
      <c r="B104">
        <v>5205.333333333333</v>
      </c>
      <c r="D104" s="3">
        <v>115</v>
      </c>
      <c r="E104">
        <v>14074.5</v>
      </c>
    </row>
    <row r="105" spans="1:5" x14ac:dyDescent="0.35">
      <c r="A105" s="3">
        <v>131</v>
      </c>
      <c r="B105">
        <v>11301.333333333334</v>
      </c>
      <c r="D105" s="3">
        <v>117</v>
      </c>
      <c r="E105">
        <v>13540</v>
      </c>
    </row>
    <row r="106" spans="1:5" x14ac:dyDescent="0.35">
      <c r="A106" s="3">
        <v>132</v>
      </c>
      <c r="B106">
        <v>11023.5</v>
      </c>
      <c r="D106" s="3">
        <v>118</v>
      </c>
      <c r="E106">
        <v>15022</v>
      </c>
    </row>
    <row r="107" spans="1:5" x14ac:dyDescent="0.35">
      <c r="A107" s="3">
        <v>133</v>
      </c>
      <c r="B107">
        <v>7314</v>
      </c>
      <c r="D107" s="3">
        <v>119</v>
      </c>
      <c r="E107">
        <v>6572</v>
      </c>
    </row>
    <row r="108" spans="1:5" x14ac:dyDescent="0.35">
      <c r="A108" s="3">
        <v>134</v>
      </c>
      <c r="B108">
        <v>7416</v>
      </c>
      <c r="D108" s="3">
        <v>120</v>
      </c>
      <c r="E108">
        <v>11741</v>
      </c>
    </row>
    <row r="109" spans="1:5" x14ac:dyDescent="0.35">
      <c r="A109" s="3">
        <v>137</v>
      </c>
      <c r="B109">
        <v>8098.666666666667</v>
      </c>
      <c r="D109" s="3">
        <v>121</v>
      </c>
      <c r="E109">
        <v>11000</v>
      </c>
    </row>
    <row r="110" spans="1:5" x14ac:dyDescent="0.35">
      <c r="A110" s="3">
        <v>139</v>
      </c>
      <c r="B110">
        <v>8532.75</v>
      </c>
      <c r="D110" s="3">
        <v>122</v>
      </c>
      <c r="E110">
        <v>2796.5</v>
      </c>
    </row>
    <row r="111" spans="1:5" x14ac:dyDescent="0.35">
      <c r="A111" s="3">
        <v>140</v>
      </c>
      <c r="B111">
        <v>6584</v>
      </c>
      <c r="D111" s="3">
        <v>123</v>
      </c>
      <c r="E111">
        <v>10650</v>
      </c>
    </row>
    <row r="112" spans="1:5" x14ac:dyDescent="0.35">
      <c r="A112" s="3">
        <v>141</v>
      </c>
      <c r="B112">
        <v>13268</v>
      </c>
      <c r="D112" s="3">
        <v>124</v>
      </c>
      <c r="E112">
        <v>9882</v>
      </c>
    </row>
    <row r="113" spans="1:5" x14ac:dyDescent="0.35">
      <c r="A113" s="3">
        <v>143</v>
      </c>
      <c r="B113">
        <v>1938</v>
      </c>
      <c r="D113" s="3">
        <v>125</v>
      </c>
      <c r="E113">
        <v>1935</v>
      </c>
    </row>
    <row r="114" spans="1:5" x14ac:dyDescent="0.35">
      <c r="A114" s="3">
        <v>144</v>
      </c>
      <c r="B114">
        <v>9516.6666666666661</v>
      </c>
      <c r="D114" s="3">
        <v>126</v>
      </c>
      <c r="E114">
        <v>5487.666666666667</v>
      </c>
    </row>
    <row r="115" spans="1:5" x14ac:dyDescent="0.35">
      <c r="A115" s="3">
        <v>145</v>
      </c>
      <c r="B115">
        <v>20123.5</v>
      </c>
      <c r="D115" s="3">
        <v>127</v>
      </c>
      <c r="E115">
        <v>9519</v>
      </c>
    </row>
    <row r="116" spans="1:5" x14ac:dyDescent="0.35">
      <c r="A116" s="3">
        <v>147</v>
      </c>
      <c r="B116">
        <v>5096</v>
      </c>
      <c r="D116" s="3">
        <v>128</v>
      </c>
      <c r="E116">
        <v>8061</v>
      </c>
    </row>
    <row r="117" spans="1:5" x14ac:dyDescent="0.35">
      <c r="A117" s="3">
        <v>148</v>
      </c>
      <c r="B117">
        <v>3312</v>
      </c>
      <c r="D117" s="3">
        <v>129</v>
      </c>
      <c r="E117">
        <v>6582</v>
      </c>
    </row>
    <row r="118" spans="1:5" x14ac:dyDescent="0.35">
      <c r="A118" s="3">
        <v>149</v>
      </c>
      <c r="B118">
        <v>4763.5</v>
      </c>
      <c r="D118" s="3">
        <v>130</v>
      </c>
      <c r="E118">
        <v>5205.333333333333</v>
      </c>
    </row>
    <row r="119" spans="1:5" x14ac:dyDescent="0.35">
      <c r="A119" s="3">
        <v>151</v>
      </c>
      <c r="B119">
        <v>4579.5</v>
      </c>
      <c r="D119" s="3">
        <v>131</v>
      </c>
      <c r="E119">
        <v>11301.333333333334</v>
      </c>
    </row>
    <row r="120" spans="1:5" x14ac:dyDescent="0.35">
      <c r="A120" s="3">
        <v>152</v>
      </c>
      <c r="B120">
        <v>1694</v>
      </c>
      <c r="D120" s="3">
        <v>132</v>
      </c>
      <c r="E120">
        <v>11023.5</v>
      </c>
    </row>
    <row r="121" spans="1:5" x14ac:dyDescent="0.35">
      <c r="A121" s="3">
        <v>153</v>
      </c>
      <c r="B121">
        <v>15570</v>
      </c>
      <c r="D121" s="3">
        <v>133</v>
      </c>
      <c r="E121">
        <v>7314</v>
      </c>
    </row>
    <row r="122" spans="1:5" x14ac:dyDescent="0.35">
      <c r="A122" s="3">
        <v>154</v>
      </c>
      <c r="B122">
        <v>3756</v>
      </c>
      <c r="D122" s="3">
        <v>134</v>
      </c>
      <c r="E122">
        <v>7416</v>
      </c>
    </row>
    <row r="123" spans="1:5" x14ac:dyDescent="0.35">
      <c r="A123" s="3">
        <v>155</v>
      </c>
      <c r="B123">
        <v>8580</v>
      </c>
      <c r="D123" s="3">
        <v>137</v>
      </c>
      <c r="E123">
        <v>8098.666666666667</v>
      </c>
    </row>
    <row r="124" spans="1:5" x14ac:dyDescent="0.35">
      <c r="A124" s="3">
        <v>156</v>
      </c>
      <c r="B124">
        <v>12234</v>
      </c>
      <c r="D124" s="3">
        <v>139</v>
      </c>
      <c r="E124">
        <v>8532.75</v>
      </c>
    </row>
    <row r="125" spans="1:5" x14ac:dyDescent="0.35">
      <c r="A125" s="3">
        <v>157</v>
      </c>
      <c r="B125">
        <v>6251.666666666667</v>
      </c>
      <c r="D125" s="3">
        <v>140</v>
      </c>
      <c r="E125">
        <v>6584</v>
      </c>
    </row>
    <row r="126" spans="1:5" x14ac:dyDescent="0.35">
      <c r="A126" s="3">
        <v>158</v>
      </c>
      <c r="B126">
        <v>9906.5</v>
      </c>
      <c r="D126" s="3">
        <v>141</v>
      </c>
      <c r="E126">
        <v>13268</v>
      </c>
    </row>
    <row r="127" spans="1:5" x14ac:dyDescent="0.35">
      <c r="A127" s="3">
        <v>159</v>
      </c>
      <c r="B127">
        <v>3648</v>
      </c>
      <c r="D127" s="3">
        <v>143</v>
      </c>
      <c r="E127">
        <v>1938</v>
      </c>
    </row>
    <row r="128" spans="1:5" x14ac:dyDescent="0.35">
      <c r="A128" s="3">
        <v>160</v>
      </c>
      <c r="B128">
        <v>11802</v>
      </c>
      <c r="D128" s="3">
        <v>144</v>
      </c>
      <c r="E128">
        <v>9516.6666666666661</v>
      </c>
    </row>
    <row r="129" spans="1:5" x14ac:dyDescent="0.35">
      <c r="A129" s="3">
        <v>161</v>
      </c>
      <c r="B129">
        <v>8080</v>
      </c>
      <c r="D129" s="3">
        <v>145</v>
      </c>
      <c r="E129">
        <v>20123.5</v>
      </c>
    </row>
    <row r="130" spans="1:5" x14ac:dyDescent="0.35">
      <c r="A130" s="3">
        <v>162</v>
      </c>
      <c r="B130">
        <v>6378.666666666667</v>
      </c>
      <c r="D130" s="3">
        <v>147</v>
      </c>
      <c r="E130">
        <v>5096</v>
      </c>
    </row>
    <row r="131" spans="1:5" x14ac:dyDescent="0.35">
      <c r="A131" s="3">
        <v>163</v>
      </c>
      <c r="B131">
        <v>18392</v>
      </c>
      <c r="D131" s="3">
        <v>148</v>
      </c>
      <c r="E131">
        <v>3312</v>
      </c>
    </row>
    <row r="132" spans="1:5" x14ac:dyDescent="0.35">
      <c r="A132" s="3">
        <v>164</v>
      </c>
      <c r="B132">
        <v>6102</v>
      </c>
      <c r="D132" s="3">
        <v>149</v>
      </c>
      <c r="E132">
        <v>4763.5</v>
      </c>
    </row>
    <row r="133" spans="1:5" x14ac:dyDescent="0.35">
      <c r="A133" s="3">
        <v>165</v>
      </c>
      <c r="B133">
        <v>4893</v>
      </c>
      <c r="D133" s="3">
        <v>151</v>
      </c>
      <c r="E133">
        <v>4579.5</v>
      </c>
    </row>
    <row r="134" spans="1:5" x14ac:dyDescent="0.35">
      <c r="A134" s="3">
        <v>166</v>
      </c>
      <c r="B134">
        <v>11940.5</v>
      </c>
      <c r="D134" s="3">
        <v>152</v>
      </c>
      <c r="E134">
        <v>1694</v>
      </c>
    </row>
    <row r="135" spans="1:5" x14ac:dyDescent="0.35">
      <c r="A135" s="3">
        <v>168</v>
      </c>
      <c r="B135">
        <v>8668.3333333333339</v>
      </c>
      <c r="D135" s="3">
        <v>153</v>
      </c>
      <c r="E135">
        <v>15570</v>
      </c>
    </row>
    <row r="136" spans="1:5" x14ac:dyDescent="0.35">
      <c r="A136" s="3">
        <v>169</v>
      </c>
      <c r="B136">
        <v>7467</v>
      </c>
      <c r="D136" s="3">
        <v>154</v>
      </c>
      <c r="E136">
        <v>3756</v>
      </c>
    </row>
    <row r="137" spans="1:5" x14ac:dyDescent="0.35">
      <c r="A137" s="3">
        <v>170</v>
      </c>
      <c r="B137">
        <v>2005</v>
      </c>
      <c r="D137" s="3">
        <v>155</v>
      </c>
      <c r="E137">
        <v>8580</v>
      </c>
    </row>
    <row r="138" spans="1:5" x14ac:dyDescent="0.35">
      <c r="A138" s="3">
        <v>171</v>
      </c>
      <c r="B138">
        <v>11917</v>
      </c>
      <c r="D138" s="3">
        <v>156</v>
      </c>
      <c r="E138">
        <v>12234</v>
      </c>
    </row>
    <row r="139" spans="1:5" x14ac:dyDescent="0.35">
      <c r="A139" s="3">
        <v>172</v>
      </c>
      <c r="B139">
        <v>9250.5</v>
      </c>
      <c r="D139" s="3">
        <v>157</v>
      </c>
      <c r="E139">
        <v>6251.666666666667</v>
      </c>
    </row>
    <row r="140" spans="1:5" x14ac:dyDescent="0.35">
      <c r="A140" s="3">
        <v>173</v>
      </c>
      <c r="B140">
        <v>12660</v>
      </c>
      <c r="D140" s="3">
        <v>158</v>
      </c>
      <c r="E140">
        <v>9906.5</v>
      </c>
    </row>
    <row r="141" spans="1:5" x14ac:dyDescent="0.35">
      <c r="A141" s="3">
        <v>174</v>
      </c>
      <c r="B141">
        <v>3632</v>
      </c>
      <c r="D141" s="3">
        <v>159</v>
      </c>
      <c r="E141">
        <v>3648</v>
      </c>
    </row>
    <row r="142" spans="1:5" x14ac:dyDescent="0.35">
      <c r="A142" s="3">
        <v>175</v>
      </c>
      <c r="B142">
        <v>18535</v>
      </c>
      <c r="D142" s="3">
        <v>160</v>
      </c>
      <c r="E142">
        <v>11802</v>
      </c>
    </row>
    <row r="143" spans="1:5" x14ac:dyDescent="0.35">
      <c r="A143" s="3">
        <v>176</v>
      </c>
      <c r="B143">
        <v>17368</v>
      </c>
      <c r="D143" s="3">
        <v>161</v>
      </c>
      <c r="E143">
        <v>8080</v>
      </c>
    </row>
    <row r="144" spans="1:5" x14ac:dyDescent="0.35">
      <c r="A144" s="3">
        <v>177</v>
      </c>
      <c r="B144">
        <v>10048.799999999999</v>
      </c>
      <c r="D144" s="3">
        <v>162</v>
      </c>
      <c r="E144">
        <v>6378.666666666667</v>
      </c>
    </row>
    <row r="145" spans="1:5" x14ac:dyDescent="0.35">
      <c r="A145" s="3">
        <v>179</v>
      </c>
      <c r="B145">
        <v>4672</v>
      </c>
      <c r="D145" s="3">
        <v>163</v>
      </c>
      <c r="E145">
        <v>18392</v>
      </c>
    </row>
    <row r="146" spans="1:5" x14ac:dyDescent="0.35">
      <c r="A146" s="3">
        <v>180</v>
      </c>
      <c r="B146">
        <v>7766</v>
      </c>
      <c r="D146" s="3">
        <v>164</v>
      </c>
      <c r="E146">
        <v>6102</v>
      </c>
    </row>
    <row r="147" spans="1:5" x14ac:dyDescent="0.35">
      <c r="A147" s="3">
        <v>181</v>
      </c>
      <c r="B147">
        <v>10199.666666666666</v>
      </c>
      <c r="D147" s="3">
        <v>165</v>
      </c>
      <c r="E147">
        <v>4893</v>
      </c>
    </row>
    <row r="148" spans="1:5" x14ac:dyDescent="0.35">
      <c r="A148" s="3">
        <v>183</v>
      </c>
      <c r="B148">
        <v>8566.5</v>
      </c>
      <c r="D148" s="3">
        <v>166</v>
      </c>
      <c r="E148">
        <v>11940.5</v>
      </c>
    </row>
    <row r="149" spans="1:5" x14ac:dyDescent="0.35">
      <c r="A149" s="3">
        <v>184</v>
      </c>
      <c r="B149">
        <v>5970</v>
      </c>
      <c r="D149" s="3">
        <v>168</v>
      </c>
      <c r="E149">
        <v>8668.3333333333339</v>
      </c>
    </row>
    <row r="150" spans="1:5" x14ac:dyDescent="0.35">
      <c r="A150" s="3">
        <v>185</v>
      </c>
      <c r="B150">
        <v>8689.75</v>
      </c>
      <c r="D150" s="3">
        <v>169</v>
      </c>
      <c r="E150">
        <v>7467</v>
      </c>
    </row>
    <row r="151" spans="1:5" x14ac:dyDescent="0.35">
      <c r="A151" s="3">
        <v>187</v>
      </c>
      <c r="B151">
        <v>14894.6</v>
      </c>
      <c r="D151" s="3">
        <v>170</v>
      </c>
      <c r="E151">
        <v>2005</v>
      </c>
    </row>
    <row r="152" spans="1:5" x14ac:dyDescent="0.35">
      <c r="A152" s="3">
        <v>188</v>
      </c>
      <c r="B152">
        <v>8370</v>
      </c>
      <c r="D152" s="3">
        <v>171</v>
      </c>
      <c r="E152">
        <v>11917</v>
      </c>
    </row>
    <row r="153" spans="1:5" x14ac:dyDescent="0.35">
      <c r="A153" s="3">
        <v>189</v>
      </c>
      <c r="B153">
        <v>12977</v>
      </c>
      <c r="D153" s="3">
        <v>172</v>
      </c>
      <c r="E153">
        <v>9250.5</v>
      </c>
    </row>
    <row r="154" spans="1:5" x14ac:dyDescent="0.35">
      <c r="A154" s="3">
        <v>190</v>
      </c>
      <c r="B154">
        <v>2964</v>
      </c>
      <c r="D154" s="3">
        <v>173</v>
      </c>
      <c r="E154">
        <v>12660</v>
      </c>
    </row>
    <row r="155" spans="1:5" x14ac:dyDescent="0.35">
      <c r="A155" s="3">
        <v>191</v>
      </c>
      <c r="B155">
        <v>6936.333333333333</v>
      </c>
      <c r="D155" s="3">
        <v>174</v>
      </c>
      <c r="E155">
        <v>3632</v>
      </c>
    </row>
    <row r="156" spans="1:5" x14ac:dyDescent="0.35">
      <c r="A156" s="3">
        <v>192</v>
      </c>
      <c r="B156">
        <v>12200</v>
      </c>
      <c r="D156" s="3">
        <v>175</v>
      </c>
      <c r="E156">
        <v>18535</v>
      </c>
    </row>
    <row r="157" spans="1:5" x14ac:dyDescent="0.35">
      <c r="A157" s="3">
        <v>193</v>
      </c>
      <c r="B157">
        <v>6174</v>
      </c>
      <c r="D157" s="3">
        <v>176</v>
      </c>
      <c r="E157">
        <v>17368</v>
      </c>
    </row>
    <row r="158" spans="1:5" x14ac:dyDescent="0.35">
      <c r="A158" s="3">
        <v>194</v>
      </c>
      <c r="B158">
        <v>15319.666666666666</v>
      </c>
      <c r="D158" s="3">
        <v>177</v>
      </c>
      <c r="E158">
        <v>10048.799999999999</v>
      </c>
    </row>
    <row r="159" spans="1:5" x14ac:dyDescent="0.35">
      <c r="A159" s="3">
        <v>195</v>
      </c>
      <c r="B159">
        <v>13614.333333333334</v>
      </c>
      <c r="D159" s="3">
        <v>179</v>
      </c>
      <c r="E159">
        <v>4672</v>
      </c>
    </row>
    <row r="160" spans="1:5" x14ac:dyDescent="0.35">
      <c r="A160" s="3">
        <v>197</v>
      </c>
      <c r="B160">
        <v>4752</v>
      </c>
      <c r="D160" s="3">
        <v>180</v>
      </c>
      <c r="E160">
        <v>7766</v>
      </c>
    </row>
    <row r="161" spans="1:5" x14ac:dyDescent="0.35">
      <c r="A161" s="3">
        <v>198</v>
      </c>
      <c r="B161">
        <v>9064.6666666666661</v>
      </c>
      <c r="D161" s="3">
        <v>181</v>
      </c>
      <c r="E161">
        <v>10199.666666666666</v>
      </c>
    </row>
    <row r="162" spans="1:5" x14ac:dyDescent="0.35">
      <c r="A162" s="3">
        <v>199</v>
      </c>
      <c r="B162">
        <v>10950</v>
      </c>
      <c r="D162" s="3">
        <v>183</v>
      </c>
      <c r="E162">
        <v>8566.5</v>
      </c>
    </row>
    <row r="163" spans="1:5" x14ac:dyDescent="0.35">
      <c r="A163" s="3">
        <v>200</v>
      </c>
      <c r="B163">
        <v>6916.5</v>
      </c>
      <c r="D163" s="3">
        <v>184</v>
      </c>
      <c r="E163">
        <v>5970</v>
      </c>
    </row>
    <row r="164" spans="1:5" x14ac:dyDescent="0.35">
      <c r="A164" s="3">
        <v>201</v>
      </c>
      <c r="B164">
        <v>7882.666666666667</v>
      </c>
      <c r="D164" s="3">
        <v>185</v>
      </c>
      <c r="E164">
        <v>8689.75</v>
      </c>
    </row>
    <row r="165" spans="1:5" x14ac:dyDescent="0.35">
      <c r="A165" s="3">
        <v>202</v>
      </c>
      <c r="B165">
        <v>11073.666666666666</v>
      </c>
      <c r="D165" s="3">
        <v>187</v>
      </c>
      <c r="E165">
        <v>14894.6</v>
      </c>
    </row>
    <row r="166" spans="1:5" x14ac:dyDescent="0.35">
      <c r="A166" s="3">
        <v>203</v>
      </c>
      <c r="B166">
        <v>9686.75</v>
      </c>
      <c r="D166" s="3">
        <v>188</v>
      </c>
      <c r="E166">
        <v>8370</v>
      </c>
    </row>
    <row r="167" spans="1:5" x14ac:dyDescent="0.35">
      <c r="A167" s="3">
        <v>204</v>
      </c>
      <c r="B167">
        <v>13500</v>
      </c>
      <c r="D167" s="3">
        <v>189</v>
      </c>
      <c r="E167">
        <v>12977</v>
      </c>
    </row>
    <row r="168" spans="1:5" x14ac:dyDescent="0.35">
      <c r="A168" s="3">
        <v>206</v>
      </c>
      <c r="B168">
        <v>10792</v>
      </c>
      <c r="D168" s="3">
        <v>190</v>
      </c>
      <c r="E168">
        <v>2964</v>
      </c>
    </row>
    <row r="169" spans="1:5" x14ac:dyDescent="0.35">
      <c r="A169" s="3">
        <v>208</v>
      </c>
      <c r="B169">
        <v>12829</v>
      </c>
      <c r="D169" s="3">
        <v>191</v>
      </c>
      <c r="E169">
        <v>6936.333333333333</v>
      </c>
    </row>
    <row r="170" spans="1:5" x14ac:dyDescent="0.35">
      <c r="A170" s="3">
        <v>209</v>
      </c>
      <c r="B170">
        <v>17986</v>
      </c>
      <c r="D170" s="3">
        <v>192</v>
      </c>
      <c r="E170">
        <v>12200</v>
      </c>
    </row>
    <row r="171" spans="1:5" x14ac:dyDescent="0.35">
      <c r="A171" s="3">
        <v>210</v>
      </c>
      <c r="B171">
        <v>4202</v>
      </c>
      <c r="D171" s="3">
        <v>193</v>
      </c>
      <c r="E171">
        <v>6174</v>
      </c>
    </row>
    <row r="172" spans="1:5" x14ac:dyDescent="0.35">
      <c r="A172" s="3">
        <v>212</v>
      </c>
      <c r="B172">
        <v>11867</v>
      </c>
      <c r="D172" s="3">
        <v>194</v>
      </c>
      <c r="E172">
        <v>15319.666666666666</v>
      </c>
    </row>
    <row r="173" spans="1:5" x14ac:dyDescent="0.35">
      <c r="A173" s="3">
        <v>213</v>
      </c>
      <c r="B173">
        <v>7958.666666666667</v>
      </c>
      <c r="D173" s="3">
        <v>195</v>
      </c>
      <c r="E173">
        <v>13614.333333333334</v>
      </c>
    </row>
    <row r="174" spans="1:5" x14ac:dyDescent="0.35">
      <c r="A174" s="3">
        <v>214</v>
      </c>
      <c r="B174">
        <v>7623</v>
      </c>
      <c r="D174" s="3">
        <v>197</v>
      </c>
      <c r="E174">
        <v>4752</v>
      </c>
    </row>
    <row r="175" spans="1:5" x14ac:dyDescent="0.35">
      <c r="A175" s="3">
        <v>215</v>
      </c>
      <c r="B175">
        <v>12980</v>
      </c>
      <c r="D175" s="3">
        <v>198</v>
      </c>
      <c r="E175">
        <v>9064.6666666666661</v>
      </c>
    </row>
    <row r="176" spans="1:5" x14ac:dyDescent="0.35">
      <c r="A176" s="3">
        <v>216</v>
      </c>
      <c r="B176">
        <v>12989.333333333334</v>
      </c>
      <c r="D176" s="3">
        <v>199</v>
      </c>
      <c r="E176">
        <v>10950</v>
      </c>
    </row>
    <row r="177" spans="1:5" x14ac:dyDescent="0.35">
      <c r="A177" s="3">
        <v>217</v>
      </c>
      <c r="B177">
        <v>10817</v>
      </c>
      <c r="D177" s="3">
        <v>200</v>
      </c>
      <c r="E177">
        <v>6916.5</v>
      </c>
    </row>
    <row r="178" spans="1:5" x14ac:dyDescent="0.35">
      <c r="A178" s="3">
        <v>218</v>
      </c>
      <c r="B178">
        <v>9990</v>
      </c>
      <c r="D178" s="3">
        <v>201</v>
      </c>
      <c r="E178">
        <v>7882.666666666667</v>
      </c>
    </row>
    <row r="179" spans="1:5" x14ac:dyDescent="0.35">
      <c r="A179" s="3">
        <v>221</v>
      </c>
      <c r="B179">
        <v>8418</v>
      </c>
      <c r="D179" s="3">
        <v>202</v>
      </c>
      <c r="E179">
        <v>11073.666666666666</v>
      </c>
    </row>
    <row r="180" spans="1:5" x14ac:dyDescent="0.35">
      <c r="A180" s="3">
        <v>222</v>
      </c>
      <c r="B180">
        <v>10640</v>
      </c>
      <c r="D180" s="3">
        <v>203</v>
      </c>
      <c r="E180">
        <v>9686.75</v>
      </c>
    </row>
    <row r="181" spans="1:5" x14ac:dyDescent="0.35">
      <c r="A181" s="3">
        <v>223</v>
      </c>
      <c r="B181">
        <v>6470</v>
      </c>
      <c r="D181" s="3">
        <v>204</v>
      </c>
      <c r="E181">
        <v>13500</v>
      </c>
    </row>
    <row r="182" spans="1:5" x14ac:dyDescent="0.35">
      <c r="A182" s="3">
        <v>224</v>
      </c>
      <c r="B182">
        <v>6592</v>
      </c>
      <c r="D182" s="3">
        <v>206</v>
      </c>
      <c r="E182">
        <v>10792</v>
      </c>
    </row>
    <row r="183" spans="1:5" x14ac:dyDescent="0.35">
      <c r="A183" s="3">
        <v>225</v>
      </c>
      <c r="B183">
        <v>10908.5</v>
      </c>
      <c r="D183" s="3">
        <v>208</v>
      </c>
      <c r="E183">
        <v>12829</v>
      </c>
    </row>
    <row r="184" spans="1:5" x14ac:dyDescent="0.35">
      <c r="A184" s="3">
        <v>226</v>
      </c>
      <c r="B184">
        <v>12407.333333333334</v>
      </c>
      <c r="D184" s="3">
        <v>209</v>
      </c>
      <c r="E184">
        <v>17986</v>
      </c>
    </row>
    <row r="185" spans="1:5" x14ac:dyDescent="0.35">
      <c r="A185" s="3">
        <v>227</v>
      </c>
      <c r="B185">
        <v>8740</v>
      </c>
      <c r="D185" s="3">
        <v>210</v>
      </c>
      <c r="E185">
        <v>4202</v>
      </c>
    </row>
    <row r="186" spans="1:5" x14ac:dyDescent="0.35">
      <c r="A186" s="3">
        <v>228</v>
      </c>
      <c r="B186">
        <v>18270</v>
      </c>
      <c r="D186" s="3">
        <v>212</v>
      </c>
      <c r="E186">
        <v>11867</v>
      </c>
    </row>
    <row r="187" spans="1:5" x14ac:dyDescent="0.35">
      <c r="A187" s="3">
        <v>229</v>
      </c>
      <c r="B187">
        <v>11338.5</v>
      </c>
      <c r="D187" s="3">
        <v>213</v>
      </c>
      <c r="E187">
        <v>7958.666666666667</v>
      </c>
    </row>
    <row r="188" spans="1:5" x14ac:dyDescent="0.35">
      <c r="A188" s="3">
        <v>230</v>
      </c>
      <c r="B188">
        <v>9238</v>
      </c>
      <c r="D188" s="3">
        <v>214</v>
      </c>
      <c r="E188">
        <v>7623</v>
      </c>
    </row>
    <row r="189" spans="1:5" x14ac:dyDescent="0.35">
      <c r="A189" s="3">
        <v>231</v>
      </c>
      <c r="B189">
        <v>2951</v>
      </c>
      <c r="D189" s="3">
        <v>215</v>
      </c>
      <c r="E189">
        <v>12980</v>
      </c>
    </row>
    <row r="190" spans="1:5" x14ac:dyDescent="0.35">
      <c r="A190" s="3">
        <v>233</v>
      </c>
      <c r="B190">
        <v>7675.5</v>
      </c>
      <c r="D190" s="3">
        <v>216</v>
      </c>
      <c r="E190">
        <v>12989.333333333334</v>
      </c>
    </row>
    <row r="191" spans="1:5" x14ac:dyDescent="0.35">
      <c r="A191" s="3">
        <v>234</v>
      </c>
      <c r="B191">
        <v>7165.333333333333</v>
      </c>
      <c r="D191" s="3">
        <v>217</v>
      </c>
      <c r="E191">
        <v>10817</v>
      </c>
    </row>
    <row r="192" spans="1:5" x14ac:dyDescent="0.35">
      <c r="A192" s="3">
        <v>235</v>
      </c>
      <c r="B192">
        <v>16000</v>
      </c>
      <c r="D192" s="3">
        <v>218</v>
      </c>
      <c r="E192">
        <v>9990</v>
      </c>
    </row>
    <row r="193" spans="1:5" x14ac:dyDescent="0.35">
      <c r="A193" s="3">
        <v>236</v>
      </c>
      <c r="B193">
        <v>9588.3333333333339</v>
      </c>
      <c r="D193" s="3">
        <v>221</v>
      </c>
      <c r="E193">
        <v>8418</v>
      </c>
    </row>
    <row r="194" spans="1:5" x14ac:dyDescent="0.35">
      <c r="A194" s="3">
        <v>237</v>
      </c>
      <c r="B194">
        <v>17492.5</v>
      </c>
      <c r="D194" s="3">
        <v>222</v>
      </c>
      <c r="E194">
        <v>10640</v>
      </c>
    </row>
    <row r="195" spans="1:5" x14ac:dyDescent="0.35">
      <c r="A195" s="3">
        <v>238</v>
      </c>
      <c r="B195">
        <v>10867.666666666666</v>
      </c>
      <c r="D195" s="3">
        <v>223</v>
      </c>
      <c r="E195">
        <v>6470</v>
      </c>
    </row>
    <row r="196" spans="1:5" x14ac:dyDescent="0.35">
      <c r="A196" s="3">
        <v>239</v>
      </c>
      <c r="B196">
        <v>8542</v>
      </c>
      <c r="D196" s="3">
        <v>224</v>
      </c>
      <c r="E196">
        <v>6592</v>
      </c>
    </row>
    <row r="197" spans="1:5" x14ac:dyDescent="0.35">
      <c r="A197" s="3">
        <v>240</v>
      </c>
      <c r="B197">
        <v>14060</v>
      </c>
      <c r="D197" s="3">
        <v>225</v>
      </c>
      <c r="E197">
        <v>10908.5</v>
      </c>
    </row>
    <row r="198" spans="1:5" x14ac:dyDescent="0.35">
      <c r="A198" s="3">
        <v>241</v>
      </c>
      <c r="B198">
        <v>4730</v>
      </c>
      <c r="D198" s="3">
        <v>226</v>
      </c>
      <c r="E198">
        <v>12407.333333333334</v>
      </c>
    </row>
    <row r="199" spans="1:5" x14ac:dyDescent="0.35">
      <c r="A199" s="3">
        <v>242</v>
      </c>
      <c r="B199">
        <v>2178</v>
      </c>
      <c r="D199" s="3">
        <v>227</v>
      </c>
      <c r="E199">
        <v>8740</v>
      </c>
    </row>
    <row r="200" spans="1:5" x14ac:dyDescent="0.35">
      <c r="A200" s="3">
        <v>244</v>
      </c>
      <c r="B200">
        <v>9012.5</v>
      </c>
      <c r="D200" s="3">
        <v>228</v>
      </c>
      <c r="E200">
        <v>18270</v>
      </c>
    </row>
    <row r="201" spans="1:5" x14ac:dyDescent="0.35">
      <c r="A201" s="3">
        <v>245</v>
      </c>
      <c r="B201">
        <v>2807</v>
      </c>
      <c r="D201" s="3">
        <v>229</v>
      </c>
      <c r="E201">
        <v>11338.5</v>
      </c>
    </row>
    <row r="202" spans="1:5" x14ac:dyDescent="0.35">
      <c r="A202" s="3">
        <v>246</v>
      </c>
      <c r="B202">
        <v>14769.4</v>
      </c>
      <c r="D202" s="3">
        <v>230</v>
      </c>
      <c r="E202">
        <v>9238</v>
      </c>
    </row>
    <row r="203" spans="1:5" x14ac:dyDescent="0.35">
      <c r="A203" s="3">
        <v>248</v>
      </c>
      <c r="B203">
        <v>11832</v>
      </c>
      <c r="D203" s="3">
        <v>231</v>
      </c>
      <c r="E203">
        <v>2951</v>
      </c>
    </row>
    <row r="204" spans="1:5" x14ac:dyDescent="0.35">
      <c r="A204" s="3">
        <v>249</v>
      </c>
      <c r="B204">
        <v>2392</v>
      </c>
      <c r="D204" s="3">
        <v>233</v>
      </c>
      <c r="E204">
        <v>7675.5</v>
      </c>
    </row>
    <row r="205" spans="1:5" x14ac:dyDescent="0.35">
      <c r="A205" s="3">
        <v>250</v>
      </c>
      <c r="B205">
        <v>12975.75</v>
      </c>
      <c r="D205" s="3">
        <v>234</v>
      </c>
      <c r="E205">
        <v>7165.333333333333</v>
      </c>
    </row>
    <row r="206" spans="1:5" x14ac:dyDescent="0.35">
      <c r="A206" s="3">
        <v>251</v>
      </c>
      <c r="B206">
        <v>3420</v>
      </c>
      <c r="D206" s="3">
        <v>235</v>
      </c>
      <c r="E206">
        <v>16000</v>
      </c>
    </row>
    <row r="207" spans="1:5" x14ac:dyDescent="0.35">
      <c r="A207" s="3">
        <v>252</v>
      </c>
      <c r="B207">
        <v>13284</v>
      </c>
      <c r="D207" s="3">
        <v>236</v>
      </c>
      <c r="E207">
        <v>9588.3333333333339</v>
      </c>
    </row>
    <row r="208" spans="1:5" x14ac:dyDescent="0.35">
      <c r="A208" s="3">
        <v>253</v>
      </c>
      <c r="B208">
        <v>9543.3333333333339</v>
      </c>
      <c r="D208" s="3">
        <v>237</v>
      </c>
      <c r="E208">
        <v>17492.5</v>
      </c>
    </row>
    <row r="209" spans="1:5" x14ac:dyDescent="0.35">
      <c r="A209" s="3">
        <v>254</v>
      </c>
      <c r="B209">
        <v>3208</v>
      </c>
      <c r="D209" s="3">
        <v>238</v>
      </c>
      <c r="E209">
        <v>10867.666666666666</v>
      </c>
    </row>
    <row r="210" spans="1:5" x14ac:dyDescent="0.35">
      <c r="A210" s="3">
        <v>255</v>
      </c>
      <c r="B210">
        <v>10133</v>
      </c>
      <c r="D210" s="3">
        <v>239</v>
      </c>
      <c r="E210">
        <v>8542</v>
      </c>
    </row>
    <row r="211" spans="1:5" x14ac:dyDescent="0.35">
      <c r="A211" s="3">
        <v>256</v>
      </c>
      <c r="B211">
        <v>9591</v>
      </c>
      <c r="D211" s="3">
        <v>240</v>
      </c>
      <c r="E211">
        <v>14060</v>
      </c>
    </row>
    <row r="212" spans="1:5" x14ac:dyDescent="0.35">
      <c r="A212" s="3">
        <v>257</v>
      </c>
      <c r="B212">
        <v>10819</v>
      </c>
      <c r="D212" s="3">
        <v>241</v>
      </c>
      <c r="E212">
        <v>4730</v>
      </c>
    </row>
    <row r="213" spans="1:5" x14ac:dyDescent="0.35">
      <c r="A213" s="3">
        <v>258</v>
      </c>
      <c r="B213">
        <v>15593.5</v>
      </c>
      <c r="D213" s="3">
        <v>242</v>
      </c>
      <c r="E213">
        <v>2178</v>
      </c>
    </row>
    <row r="214" spans="1:5" x14ac:dyDescent="0.35">
      <c r="A214" s="3">
        <v>259</v>
      </c>
      <c r="B214">
        <v>9041.5</v>
      </c>
      <c r="D214" s="3">
        <v>244</v>
      </c>
      <c r="E214">
        <v>9012.5</v>
      </c>
    </row>
    <row r="215" spans="1:5" x14ac:dyDescent="0.35">
      <c r="A215" s="3">
        <v>260</v>
      </c>
      <c r="B215">
        <v>14644.5</v>
      </c>
      <c r="D215" s="3">
        <v>245</v>
      </c>
      <c r="E215">
        <v>2807</v>
      </c>
    </row>
    <row r="216" spans="1:5" x14ac:dyDescent="0.35">
      <c r="A216" s="3">
        <v>261</v>
      </c>
      <c r="B216">
        <v>17499</v>
      </c>
      <c r="D216" s="3">
        <v>246</v>
      </c>
      <c r="E216">
        <v>14769.4</v>
      </c>
    </row>
    <row r="217" spans="1:5" x14ac:dyDescent="0.35">
      <c r="A217" s="3">
        <v>263</v>
      </c>
      <c r="B217">
        <v>7845.333333333333</v>
      </c>
      <c r="D217" s="3">
        <v>248</v>
      </c>
      <c r="E217">
        <v>11832</v>
      </c>
    </row>
    <row r="218" spans="1:5" x14ac:dyDescent="0.35">
      <c r="A218" s="3">
        <v>264</v>
      </c>
      <c r="B218">
        <v>6512</v>
      </c>
      <c r="D218" s="3">
        <v>249</v>
      </c>
      <c r="E218">
        <v>2392</v>
      </c>
    </row>
    <row r="219" spans="1:5" x14ac:dyDescent="0.35">
      <c r="A219" s="3">
        <v>265</v>
      </c>
      <c r="B219">
        <v>15780</v>
      </c>
      <c r="D219" s="3">
        <v>250</v>
      </c>
      <c r="E219">
        <v>12975.75</v>
      </c>
    </row>
    <row r="220" spans="1:5" x14ac:dyDescent="0.35">
      <c r="A220" s="3">
        <v>266</v>
      </c>
      <c r="B220">
        <v>8250</v>
      </c>
      <c r="D220" s="3">
        <v>251</v>
      </c>
      <c r="E220">
        <v>3420</v>
      </c>
    </row>
    <row r="221" spans="1:5" x14ac:dyDescent="0.35">
      <c r="A221" s="3">
        <v>269</v>
      </c>
      <c r="B221">
        <v>9009</v>
      </c>
      <c r="D221" s="3">
        <v>252</v>
      </c>
      <c r="E221">
        <v>13284</v>
      </c>
    </row>
    <row r="222" spans="1:5" x14ac:dyDescent="0.35">
      <c r="A222" s="3">
        <v>270</v>
      </c>
      <c r="B222">
        <v>7787.5</v>
      </c>
      <c r="D222" s="3">
        <v>253</v>
      </c>
      <c r="E222">
        <v>9543.3333333333339</v>
      </c>
    </row>
    <row r="223" spans="1:5" x14ac:dyDescent="0.35">
      <c r="A223" s="3">
        <v>271</v>
      </c>
      <c r="B223">
        <v>9838.6666666666661</v>
      </c>
      <c r="D223" s="3">
        <v>254</v>
      </c>
      <c r="E223">
        <v>3208</v>
      </c>
    </row>
    <row r="224" spans="1:5" x14ac:dyDescent="0.35">
      <c r="A224" s="3">
        <v>272</v>
      </c>
      <c r="B224">
        <v>5106</v>
      </c>
      <c r="D224" s="3">
        <v>255</v>
      </c>
      <c r="E224">
        <v>10133</v>
      </c>
    </row>
    <row r="225" spans="1:5" x14ac:dyDescent="0.35">
      <c r="A225" s="3">
        <v>273</v>
      </c>
      <c r="B225">
        <v>8572.25</v>
      </c>
      <c r="D225" s="3">
        <v>256</v>
      </c>
      <c r="E225">
        <v>9591</v>
      </c>
    </row>
    <row r="226" spans="1:5" x14ac:dyDescent="0.35">
      <c r="A226" s="3">
        <v>274</v>
      </c>
      <c r="B226">
        <v>13052.75</v>
      </c>
      <c r="D226" s="3">
        <v>257</v>
      </c>
      <c r="E226">
        <v>10819</v>
      </c>
    </row>
    <row r="227" spans="1:5" x14ac:dyDescent="0.35">
      <c r="A227" s="3">
        <v>275</v>
      </c>
      <c r="B227">
        <v>9854</v>
      </c>
      <c r="D227" s="3">
        <v>258</v>
      </c>
      <c r="E227">
        <v>15593.5</v>
      </c>
    </row>
    <row r="228" spans="1:5" x14ac:dyDescent="0.35">
      <c r="A228" s="3">
        <v>276</v>
      </c>
      <c r="B228">
        <v>8694</v>
      </c>
      <c r="D228" s="3">
        <v>259</v>
      </c>
      <c r="E228">
        <v>9041.5</v>
      </c>
    </row>
    <row r="229" spans="1:5" x14ac:dyDescent="0.35">
      <c r="A229" s="3">
        <v>277</v>
      </c>
      <c r="B229">
        <v>9596</v>
      </c>
      <c r="D229" s="3">
        <v>260</v>
      </c>
      <c r="E229">
        <v>14644.5</v>
      </c>
    </row>
    <row r="230" spans="1:5" x14ac:dyDescent="0.35">
      <c r="A230" s="3">
        <v>278</v>
      </c>
      <c r="B230">
        <v>12906.333333333334</v>
      </c>
      <c r="D230" s="3">
        <v>261</v>
      </c>
      <c r="E230">
        <v>17499</v>
      </c>
    </row>
    <row r="231" spans="1:5" x14ac:dyDescent="0.35">
      <c r="A231" s="3">
        <v>279</v>
      </c>
      <c r="B231">
        <v>10791.666666666666</v>
      </c>
      <c r="D231" s="3">
        <v>263</v>
      </c>
      <c r="E231">
        <v>7845.333333333333</v>
      </c>
    </row>
    <row r="232" spans="1:5" x14ac:dyDescent="0.35">
      <c r="A232" s="3">
        <v>281</v>
      </c>
      <c r="B232">
        <v>8692</v>
      </c>
      <c r="D232" s="3">
        <v>264</v>
      </c>
      <c r="E232">
        <v>6512</v>
      </c>
    </row>
    <row r="233" spans="1:5" x14ac:dyDescent="0.35">
      <c r="A233" s="3">
        <v>282</v>
      </c>
      <c r="B233">
        <v>6640</v>
      </c>
      <c r="D233" s="3">
        <v>265</v>
      </c>
      <c r="E233">
        <v>15780</v>
      </c>
    </row>
    <row r="234" spans="1:5" x14ac:dyDescent="0.35">
      <c r="A234" s="3">
        <v>283</v>
      </c>
      <c r="B234">
        <v>16642</v>
      </c>
      <c r="D234" s="3">
        <v>266</v>
      </c>
      <c r="E234">
        <v>8250</v>
      </c>
    </row>
    <row r="235" spans="1:5" x14ac:dyDescent="0.35">
      <c r="A235" s="3">
        <v>284</v>
      </c>
      <c r="B235">
        <v>10581.8</v>
      </c>
      <c r="D235" s="3">
        <v>269</v>
      </c>
      <c r="E235">
        <v>9009</v>
      </c>
    </row>
    <row r="236" spans="1:5" x14ac:dyDescent="0.35">
      <c r="A236" s="3">
        <v>285</v>
      </c>
      <c r="B236">
        <v>14410</v>
      </c>
      <c r="D236" s="3">
        <v>270</v>
      </c>
      <c r="E236">
        <v>7787.5</v>
      </c>
    </row>
    <row r="237" spans="1:5" x14ac:dyDescent="0.35">
      <c r="A237" s="3">
        <v>286</v>
      </c>
      <c r="B237">
        <v>3055</v>
      </c>
      <c r="D237" s="3">
        <v>271</v>
      </c>
      <c r="E237">
        <v>9838.6666666666661</v>
      </c>
    </row>
    <row r="238" spans="1:5" x14ac:dyDescent="0.35">
      <c r="A238" s="3">
        <v>289</v>
      </c>
      <c r="B238">
        <v>19342</v>
      </c>
      <c r="D238" s="3">
        <v>272</v>
      </c>
      <c r="E238">
        <v>5106</v>
      </c>
    </row>
    <row r="239" spans="1:5" x14ac:dyDescent="0.35">
      <c r="A239" s="3">
        <v>290</v>
      </c>
      <c r="B239">
        <v>8541.5</v>
      </c>
      <c r="D239" s="3">
        <v>273</v>
      </c>
      <c r="E239">
        <v>8572.25</v>
      </c>
    </row>
    <row r="240" spans="1:5" x14ac:dyDescent="0.35">
      <c r="A240" s="3">
        <v>291</v>
      </c>
      <c r="B240">
        <v>4180</v>
      </c>
      <c r="D240" s="3">
        <v>274</v>
      </c>
      <c r="E240">
        <v>13052.75</v>
      </c>
    </row>
    <row r="241" spans="1:5" x14ac:dyDescent="0.35">
      <c r="A241" s="3">
        <v>292</v>
      </c>
      <c r="B241">
        <v>6903.333333333333</v>
      </c>
      <c r="D241" s="3">
        <v>275</v>
      </c>
      <c r="E241">
        <v>9854</v>
      </c>
    </row>
    <row r="242" spans="1:5" x14ac:dyDescent="0.35">
      <c r="A242" s="3">
        <v>293</v>
      </c>
      <c r="B242">
        <v>12026.25</v>
      </c>
      <c r="D242" s="3">
        <v>276</v>
      </c>
      <c r="E242">
        <v>8694</v>
      </c>
    </row>
    <row r="243" spans="1:5" x14ac:dyDescent="0.35">
      <c r="A243" s="3">
        <v>294</v>
      </c>
      <c r="B243">
        <v>7835</v>
      </c>
      <c r="D243" s="3">
        <v>277</v>
      </c>
      <c r="E243">
        <v>9596</v>
      </c>
    </row>
    <row r="244" spans="1:5" x14ac:dyDescent="0.35">
      <c r="A244" s="3">
        <v>295</v>
      </c>
      <c r="B244">
        <v>17130.75</v>
      </c>
      <c r="D244" s="3">
        <v>278</v>
      </c>
      <c r="E244">
        <v>12906.333333333334</v>
      </c>
    </row>
    <row r="245" spans="1:5" x14ac:dyDescent="0.35">
      <c r="A245" s="3">
        <v>297</v>
      </c>
      <c r="B245">
        <v>15524</v>
      </c>
      <c r="D245" s="3">
        <v>279</v>
      </c>
      <c r="E245">
        <v>10791.666666666666</v>
      </c>
    </row>
    <row r="246" spans="1:5" x14ac:dyDescent="0.35">
      <c r="A246" s="3">
        <v>298</v>
      </c>
      <c r="B246">
        <v>8976.6666666666661</v>
      </c>
      <c r="D246" s="3">
        <v>281</v>
      </c>
      <c r="E246">
        <v>8692</v>
      </c>
    </row>
    <row r="247" spans="1:5" x14ac:dyDescent="0.35">
      <c r="A247" s="3">
        <v>300</v>
      </c>
      <c r="B247">
        <v>6919.5</v>
      </c>
      <c r="D247" s="3">
        <v>282</v>
      </c>
      <c r="E247">
        <v>6640</v>
      </c>
    </row>
    <row r="248" spans="1:5" x14ac:dyDescent="0.35">
      <c r="A248" s="3" t="s">
        <v>93</v>
      </c>
      <c r="B248">
        <v>9785.0139999999992</v>
      </c>
      <c r="D248" s="3">
        <v>283</v>
      </c>
      <c r="E248">
        <v>16642</v>
      </c>
    </row>
    <row r="249" spans="1:5" x14ac:dyDescent="0.35">
      <c r="D249" s="3">
        <v>284</v>
      </c>
      <c r="E249">
        <v>10581.8</v>
      </c>
    </row>
    <row r="250" spans="1:5" x14ac:dyDescent="0.35">
      <c r="D250" s="3">
        <v>285</v>
      </c>
      <c r="E250">
        <v>14410</v>
      </c>
    </row>
    <row r="251" spans="1:5" x14ac:dyDescent="0.35">
      <c r="D251" s="3">
        <v>286</v>
      </c>
      <c r="E251">
        <v>3055</v>
      </c>
    </row>
    <row r="252" spans="1:5" x14ac:dyDescent="0.35">
      <c r="D252" s="3">
        <v>289</v>
      </c>
      <c r="E252">
        <v>19342</v>
      </c>
    </row>
    <row r="253" spans="1:5" x14ac:dyDescent="0.35">
      <c r="D253" s="3">
        <v>290</v>
      </c>
      <c r="E253">
        <v>8541.5</v>
      </c>
    </row>
    <row r="254" spans="1:5" x14ac:dyDescent="0.35">
      <c r="D254" s="3">
        <v>291</v>
      </c>
      <c r="E254">
        <v>4180</v>
      </c>
    </row>
    <row r="255" spans="1:5" x14ac:dyDescent="0.35">
      <c r="D255" s="3">
        <v>292</v>
      </c>
      <c r="E255">
        <v>6903.333333333333</v>
      </c>
    </row>
    <row r="256" spans="1:5" x14ac:dyDescent="0.35">
      <c r="D256" s="3">
        <v>293</v>
      </c>
      <c r="E256">
        <v>12026.25</v>
      </c>
    </row>
    <row r="257" spans="4:5" x14ac:dyDescent="0.35">
      <c r="D257" s="3">
        <v>294</v>
      </c>
      <c r="E257">
        <v>7835</v>
      </c>
    </row>
    <row r="258" spans="4:5" x14ac:dyDescent="0.35">
      <c r="D258" s="3">
        <v>295</v>
      </c>
      <c r="E258">
        <v>17130.75</v>
      </c>
    </row>
    <row r="259" spans="4:5" x14ac:dyDescent="0.35">
      <c r="D259" s="3">
        <v>297</v>
      </c>
      <c r="E259">
        <v>15524</v>
      </c>
    </row>
    <row r="260" spans="4:5" x14ac:dyDescent="0.35">
      <c r="D260" s="3">
        <v>298</v>
      </c>
      <c r="E260">
        <v>8976.6666666666661</v>
      </c>
    </row>
    <row r="261" spans="4:5" x14ac:dyDescent="0.35">
      <c r="D261" s="3">
        <v>300</v>
      </c>
      <c r="E261">
        <v>6919.5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StarbucksData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2026-07-30T04:51:00Z</dcterms:created>
  <dcterms:modified xsi:type="dcterms:W3CDTF">2026-07-31T05:47:30Z</dcterms:modified>
</cp:coreProperties>
</file>