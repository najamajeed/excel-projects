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DD088351-CA92-4A3C-A9DF-DC09F8D3070A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able1" sheetId="2" r:id="rId1"/>
    <sheet name="Sheet1" sheetId="3" r:id="rId2"/>
    <sheet name="SalesData" sheetId="1" r:id="rId3"/>
  </sheets>
  <definedNames>
    <definedName name="ExternalData_1" localSheetId="0" hidden="1">Table1!$A$1:$M$101</definedName>
  </definedNames>
  <calcPr calcId="191029"/>
  <pivotCaches>
    <pivotCache cacheId="1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2" l="1"/>
  <c r="S2" i="2"/>
  <c r="S3" i="2"/>
  <c r="S5" i="2"/>
  <c r="S6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N2" i="2"/>
  <c r="O2" i="2" s="1"/>
  <c r="N3" i="2"/>
  <c r="O3" i="2" s="1"/>
  <c r="N4" i="2"/>
  <c r="O4" i="2" s="1"/>
  <c r="N5" i="2"/>
  <c r="O5" i="2" s="1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O24" i="2" s="1"/>
  <c r="N25" i="2"/>
  <c r="O25" i="2" s="1"/>
  <c r="N26" i="2"/>
  <c r="O26" i="2" s="1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O52" i="2" s="1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O81" i="2" s="1"/>
  <c r="N82" i="2"/>
  <c r="O82" i="2" s="1"/>
  <c r="N83" i="2"/>
  <c r="O83" i="2" s="1"/>
  <c r="N84" i="2"/>
  <c r="O84" i="2" s="1"/>
  <c r="N85" i="2"/>
  <c r="O85" i="2" s="1"/>
  <c r="N86" i="2"/>
  <c r="O86" i="2" s="1"/>
  <c r="N87" i="2"/>
  <c r="O87" i="2" s="1"/>
  <c r="N88" i="2"/>
  <c r="O88" i="2" s="1"/>
  <c r="N89" i="2"/>
  <c r="O89" i="2" s="1"/>
  <c r="N90" i="2"/>
  <c r="O90" i="2" s="1"/>
  <c r="N91" i="2"/>
  <c r="O91" i="2" s="1"/>
  <c r="N92" i="2"/>
  <c r="O92" i="2" s="1"/>
  <c r="N93" i="2"/>
  <c r="O93" i="2" s="1"/>
  <c r="N94" i="2"/>
  <c r="O94" i="2" s="1"/>
  <c r="N95" i="2"/>
  <c r="O95" i="2" s="1"/>
  <c r="N96" i="2"/>
  <c r="O96" i="2" s="1"/>
  <c r="N97" i="2"/>
  <c r="O97" i="2" s="1"/>
  <c r="N98" i="2"/>
  <c r="O98" i="2" s="1"/>
  <c r="N99" i="2"/>
  <c r="O99" i="2" s="1"/>
  <c r="N100" i="2"/>
  <c r="O100" i="2" s="1"/>
  <c r="N101" i="2"/>
  <c r="O10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1D73AE-8E08-4494-A95B-7EBD3EE87CF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<sst xmlns="http://schemas.openxmlformats.org/spreadsheetml/2006/main" count="1656" uniqueCount="170">
  <si>
    <t>Order ID</t>
  </si>
  <si>
    <t>Order Date</t>
  </si>
  <si>
    <t>Customer Name</t>
  </si>
  <si>
    <t>City</t>
  </si>
  <si>
    <t>Department</t>
  </si>
  <si>
    <t>Product</t>
  </si>
  <si>
    <t>Salesperson</t>
  </si>
  <si>
    <t>Quantity</t>
  </si>
  <si>
    <t>Unit Price</t>
  </si>
  <si>
    <t>Discount %</t>
  </si>
  <si>
    <t xml:space="preserve">Status </t>
  </si>
  <si>
    <t>Payment Method</t>
  </si>
  <si>
    <t>Remarks</t>
  </si>
  <si>
    <t>Customer 1</t>
  </si>
  <si>
    <t>Kannur</t>
  </si>
  <si>
    <t>Office Supplies</t>
  </si>
  <si>
    <t>Notebook</t>
  </si>
  <si>
    <t>Aisha</t>
  </si>
  <si>
    <t xml:space="preserve"> pending</t>
  </si>
  <si>
    <t>UPI</t>
  </si>
  <si>
    <t xml:space="preserve">repeat customer </t>
  </si>
  <si>
    <t>Customer 2</t>
  </si>
  <si>
    <t xml:space="preserve">Pending </t>
  </si>
  <si>
    <t>Customer 3</t>
  </si>
  <si>
    <t xml:space="preserve">CALICUT </t>
  </si>
  <si>
    <t>Furniture</t>
  </si>
  <si>
    <t>Chair</t>
  </si>
  <si>
    <t>Neha</t>
  </si>
  <si>
    <t>completed</t>
  </si>
  <si>
    <t>Card</t>
  </si>
  <si>
    <t>Customer 4</t>
  </si>
  <si>
    <t>thrissur</t>
  </si>
  <si>
    <t>Desk</t>
  </si>
  <si>
    <t>Cash</t>
  </si>
  <si>
    <t>Customer 5</t>
  </si>
  <si>
    <t xml:space="preserve"> Trivandrum</t>
  </si>
  <si>
    <t>Electronics</t>
  </si>
  <si>
    <t>Keyboard</t>
  </si>
  <si>
    <t>Customer 6</t>
  </si>
  <si>
    <t>Mouse</t>
  </si>
  <si>
    <t>Arun</t>
  </si>
  <si>
    <t xml:space="preserve"> urgent</t>
  </si>
  <si>
    <t>Customer 7</t>
  </si>
  <si>
    <t xml:space="preserve"> kochi</t>
  </si>
  <si>
    <t>Customer 8</t>
  </si>
  <si>
    <t>Pen Set</t>
  </si>
  <si>
    <t>Rahul</t>
  </si>
  <si>
    <t>Customer 9</t>
  </si>
  <si>
    <t xml:space="preserve"> new lead</t>
  </si>
  <si>
    <t>Customer 10</t>
  </si>
  <si>
    <t>Customer 11</t>
  </si>
  <si>
    <t>Customer 12</t>
  </si>
  <si>
    <t>Customer 13</t>
  </si>
  <si>
    <t>Customer 14</t>
  </si>
  <si>
    <t>Laptop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</si>
  <si>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</si>
  <si>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</si>
  <si>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</si>
  <si>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</si>
  <si>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</si>
  <si>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</si>
  <si>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</si>
  <si>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</si>
  <si>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</si>
  <si>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</si>
  <si>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</si>
  <si>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</si>
  <si>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</si>
  <si>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</si>
  <si>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</si>
  <si>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</si>
  <si>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</si>
  <si>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</si>
  <si>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</si>
  <si>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</si>
  <si>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</si>
  <si>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</si>
  <si>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</si>
  <si>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</si>
  <si>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</si>
  <si>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</si>
  <si>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</si>
  <si>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</si>
  <si>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</si>
  <si>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</si>
  <si>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</si>
  <si>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</si>
  <si>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</si>
  <si>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</si>
  <si>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</si>
  <si>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</si>
  <si>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</si>
  <si>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</si>
  <si>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</si>
  <si>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</si>
  <si>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</si>
  <si>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</si>
  <si>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</si>
  <si>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</si>
  <si>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</si>
  <si>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</si>
  <si>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</si>
  <si>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</si>
  <si>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</si>
  <si>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</si>
  <si>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</si>
  <si>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</si>
  <si>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</si>
  <si>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</si>
  <si>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</si>
  <si>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</si>
  <si>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</si>
  <si>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</si>
  <si>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</si>
  <si>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</si>
  <si>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</si>
  <si>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</si>
  <si>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</si>
  <si>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</si>
  <si>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</si>
  <si>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</si>
  <si>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</si>
  <si>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</si>
  <si>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</si>
  <si>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</si>
  <si>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</si>
  <si>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</si>
  <si>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</si>
  <si>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</si>
  <si>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</si>
  <si>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</si>
  <si>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</si>
  <si>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</si>
  <si>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</si>
  <si>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</si>
  <si>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</si>
  <si>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</si>
  <si>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</si>
  <si>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</si>
  <si>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</si>
  <si>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</si>
  <si>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KANNUR</t>
  </si>
  <si>
    <t>Pending</t>
  </si>
  <si>
    <t>Repeat Customer</t>
  </si>
  <si>
    <t>CALICUT</t>
  </si>
  <si>
    <t>Completed</t>
  </si>
  <si>
    <t>CARD</t>
  </si>
  <si>
    <t>THRISSUR</t>
  </si>
  <si>
    <t>CASH</t>
  </si>
  <si>
    <t>TRIVANDRUM</t>
  </si>
  <si>
    <t>Urgent</t>
  </si>
  <si>
    <t>KOCHI</t>
  </si>
  <si>
    <t>New Lead</t>
  </si>
  <si>
    <t>No Remarks</t>
  </si>
  <si>
    <t>TOTAL SALES</t>
  </si>
  <si>
    <t>DIS AMOUNT</t>
  </si>
  <si>
    <t>NET SALES</t>
  </si>
  <si>
    <t>KPIS</t>
  </si>
  <si>
    <t>TOTAL DISCOUNT AMOUNT</t>
  </si>
  <si>
    <t>ANS</t>
  </si>
  <si>
    <t>Row Labels</t>
  </si>
  <si>
    <t>Grand Total</t>
  </si>
  <si>
    <t>Sum of NET SALES</t>
  </si>
  <si>
    <t>HIGHEST DISCOUNT AMOUNT</t>
  </si>
  <si>
    <t>LOWEST NET SALES</t>
  </si>
  <si>
    <t>Min of NET SALES</t>
  </si>
  <si>
    <t>PENDING ORDERS</t>
  </si>
  <si>
    <t>Count of Order ID</t>
  </si>
  <si>
    <t>Sum of DIS AMOUNT</t>
  </si>
  <si>
    <t>Max of DIS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</si>
</sst>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3"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[Company_Sales_Dataset_For_Excel_Dashboard FINISH.xlsx]Table1!PivotTable1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446981627296589"/>
          <c:y val="0.29106262758821816"/>
          <c:w val="0.73578937007874012"/>
          <c:h val="0.5377438757655292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Table1!$V$1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Table1!$U$2:$U$9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Keyboard</c:v>
                </c:pt>
                <c:pt idx="3">
                  <c:v>Laptop</c:v>
                </c:pt>
                <c:pt idx="4">
                  <c:v>Mouse</c:v>
                </c:pt>
                <c:pt idx="5">
                  <c:v>Notebook</c:v>
                </c:pt>
                <c:pt idx="6">
                  <c:v>Pen Set</c:v>
                </c:pt>
              </c:strCache>
            </c:strRef>
          </c:cat>
          <c:val>
            <c:numRef>
              <c:f>Table1!$V$2:$V$9</c:f>
              <c:numCache>
                <c:formatCode>General</c:formatCode>
                <c:ptCount val="7"/>
                <c:pt idx="0">
                  <c:v>257608.24999999997</c:v>
                </c:pt>
                <c:pt idx="1">
                  <c:v>203141.15</c:v>
                </c:pt>
                <c:pt idx="2">
                  <c:v>95790.500000000015</c:v>
                </c:pt>
                <c:pt idx="3">
                  <c:v>109287.00000000001</c:v>
                </c:pt>
                <c:pt idx="4">
                  <c:v>89552</c:v>
                </c:pt>
                <c:pt idx="5">
                  <c:v>265853.14999999997</c:v>
                </c:pt>
                <c:pt idx="6">
                  <c:v>209107.25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D-413D-8D5B-4D26E0461E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44379600"/>
        <c:axId val="928365440"/>
      </c:barChart>
      <c:catAx>
        <c:axId val="104437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365440"/>
        <c:crosses val="autoZero"/>
        <c:auto val="1"/>
        <c:lblAlgn val="ctr"/>
        <c:lblOffset val="100"/>
        <c:noMultiLvlLbl val="0"/>
      </c:catAx>
      <c:valAx>
        <c:axId val="92836544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37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[Company_Sales_Dataset_For_Excel_Dashboard FINISH.xlsx]Table1!PivotTable4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Table1!$V$11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Table1!$U$12:$U$19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Keyboard</c:v>
                </c:pt>
                <c:pt idx="3">
                  <c:v>Laptop</c:v>
                </c:pt>
                <c:pt idx="4">
                  <c:v>Mouse</c:v>
                </c:pt>
                <c:pt idx="5">
                  <c:v>Notebook</c:v>
                </c:pt>
                <c:pt idx="6">
                  <c:v>Pen Set</c:v>
                </c:pt>
              </c:strCache>
            </c:strRef>
          </c:cat>
          <c:val>
            <c:numRef>
              <c:f>Table1!$V$12:$V$19</c:f>
              <c:numCache>
                <c:formatCode>General</c:formatCode>
                <c:ptCount val="7"/>
                <c:pt idx="0">
                  <c:v>300.05</c:v>
                </c:pt>
                <c:pt idx="1">
                  <c:v>941</c:v>
                </c:pt>
                <c:pt idx="2">
                  <c:v>566.1</c:v>
                </c:pt>
                <c:pt idx="3">
                  <c:v>1761.3</c:v>
                </c:pt>
                <c:pt idx="4">
                  <c:v>1513</c:v>
                </c:pt>
                <c:pt idx="5">
                  <c:v>303.05</c:v>
                </c:pt>
                <c:pt idx="6">
                  <c:v>1037.4000000000001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1F-48FA-8EF5-614687C6C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1935264"/>
        <c:axId val="974096384"/>
      </c:lineChart>
      <c:catAx>
        <c:axId val="107193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096384"/>
        <c:crosses val="autoZero"/>
        <c:auto val="1"/>
        <c:lblAlgn val="ctr"/>
        <c:lblOffset val="100"/>
        <c:noMultiLvlLbl val="0"/>
      </c:catAx>
      <c:valAx>
        <c:axId val="97409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93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[Company_Sales_Dataset_For_Excel_Dashboard FINISH.xlsx]Table1!PivotTable2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Table1!$V$21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Table1!$U$22:$U$24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Table1!$V$22:$V$24</c:f>
              <c:numCache>
                <c:formatCode>General</c:formatCode>
                <c:ptCount val="2"/>
                <c:pt idx="0">
                  <c:v>49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2-4653-8A7D-5F9E24E1C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[Company_Sales_Dataset_For_Excel_Dashboard FINISH.xlsx]Table1!PivotTable3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Table1!$Y$1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Table1!$X$2:$X$9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Keyboard</c:v>
                </c:pt>
                <c:pt idx="3">
                  <c:v>Laptop</c:v>
                </c:pt>
                <c:pt idx="4">
                  <c:v>Mouse</c:v>
                </c:pt>
                <c:pt idx="5">
                  <c:v>Notebook</c:v>
                </c:pt>
                <c:pt idx="6">
                  <c:v>Pen Set</c:v>
                </c:pt>
              </c:strCache>
            </c:strRef>
          </c:cat>
          <c:val>
            <c:numRef>
              <c:f>Table1!$Y$2:$Y$9</c:f>
              <c:numCache>
                <c:formatCode>General</c:formatCode>
                <c:ptCount val="7"/>
                <c:pt idx="0">
                  <c:v>15202.75</c:v>
                </c:pt>
                <c:pt idx="1">
                  <c:v>13907.850000000002</c:v>
                </c:pt>
                <c:pt idx="2">
                  <c:v>4125.4999999999991</c:v>
                </c:pt>
                <c:pt idx="3">
                  <c:v>8462</c:v>
                </c:pt>
                <c:pt idx="4">
                  <c:v>8993</c:v>
                </c:pt>
                <c:pt idx="5">
                  <c:v>20249.849999999999</c:v>
                </c:pt>
                <c:pt idx="6">
                  <c:v>14313.750000000002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7-4C2A-A768-A638FE3E9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2945120"/>
        <c:axId val="974047904"/>
      </c:barChart>
      <c:catAx>
        <c:axId val="1092945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047904"/>
        <c:crosses val="autoZero"/>
        <c:auto val="1"/>
        <c:lblAlgn val="ctr"/>
        <c:lblOffset val="100"/>
        <c:noMultiLvlLbl val="0"/>
      </c:catAx>
      <c:valAx>
        <c:axId val="974047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94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[Company_Sales_Dataset_For_Excel_Dashboard FINISH.xlsx]Table1!PivotTable7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Table1!$Y$11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Table1!$X$12:$X$19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Keyboard</c:v>
                </c:pt>
                <c:pt idx="3">
                  <c:v>Laptop</c:v>
                </c:pt>
                <c:pt idx="4">
                  <c:v>Mouse</c:v>
                </c:pt>
                <c:pt idx="5">
                  <c:v>Notebook</c:v>
                </c:pt>
                <c:pt idx="6">
                  <c:v>Pen Set</c:v>
                </c:pt>
              </c:strCache>
            </c:strRef>
          </c:cat>
          <c:val>
            <c:numRef>
              <c:f>Table1!$Y$12:$Y$19</c:f>
              <c:numCache>
                <c:formatCode>General</c:formatCode>
                <c:ptCount val="7"/>
                <c:pt idx="0">
                  <c:v>3762</c:v>
                </c:pt>
                <c:pt idx="1">
                  <c:v>4464.6000000000004</c:v>
                </c:pt>
                <c:pt idx="2">
                  <c:v>953.7</c:v>
                </c:pt>
                <c:pt idx="3">
                  <c:v>2738.7</c:v>
                </c:pt>
                <c:pt idx="4">
                  <c:v>4275.6000000000004</c:v>
                </c:pt>
                <c:pt idx="5">
                  <c:v>4214.7</c:v>
                </c:pt>
                <c:pt idx="6">
                  <c:v>6216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C-44D9-801A-0911B2B88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91549072"/>
        <c:axId val="1092732192"/>
      </c:barChart>
      <c:catAx>
        <c:axId val="109154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732192"/>
        <c:crosses val="autoZero"/>
        <c:auto val="1"/>
        <c:lblAlgn val="ctr"/>
        <c:lblOffset val="100"/>
        <c:noMultiLvlLbl val="0"/>
      </c:catAx>
      <c:valAx>
        <c:axId val="109273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54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[Company_Sales_Dataset_For_Excel_Dashboard FINISH.xlsx]Table1!PivotTable1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446981627296589"/>
          <c:y val="0.29106262758821816"/>
          <c:w val="0.73578937007874012"/>
          <c:h val="0.5377438757655292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Table1!$V$1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Table1!$U$2:$U$9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Keyboard</c:v>
                </c:pt>
                <c:pt idx="3">
                  <c:v>Laptop</c:v>
                </c:pt>
                <c:pt idx="4">
                  <c:v>Mouse</c:v>
                </c:pt>
                <c:pt idx="5">
                  <c:v>Notebook</c:v>
                </c:pt>
                <c:pt idx="6">
                  <c:v>Pen Set</c:v>
                </c:pt>
              </c:strCache>
            </c:strRef>
          </c:cat>
          <c:val>
            <c:numRef>
              <c:f>Table1!$V$2:$V$9</c:f>
              <c:numCache>
                <c:formatCode>General</c:formatCode>
                <c:ptCount val="7"/>
                <c:pt idx="0">
                  <c:v>257608.24999999997</c:v>
                </c:pt>
                <c:pt idx="1">
                  <c:v>203141.15</c:v>
                </c:pt>
                <c:pt idx="2">
                  <c:v>95790.500000000015</c:v>
                </c:pt>
                <c:pt idx="3">
                  <c:v>109287.00000000001</c:v>
                </c:pt>
                <c:pt idx="4">
                  <c:v>89552</c:v>
                </c:pt>
                <c:pt idx="5">
                  <c:v>265853.14999999997</c:v>
                </c:pt>
                <c:pt idx="6">
                  <c:v>209107.25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C6-4F16-A9B1-F1E0FB56EAE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44379600"/>
        <c:axId val="928365440"/>
      </c:barChart>
      <c:catAx>
        <c:axId val="104437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365440"/>
        <c:crosses val="autoZero"/>
        <c:auto val="1"/>
        <c:lblAlgn val="ctr"/>
        <c:lblOffset val="100"/>
        <c:noMultiLvlLbl val="0"/>
      </c:catAx>
      <c:valAx>
        <c:axId val="92836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37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[Company_Sales_Dataset_For_Excel_Dashboard FINISH.xlsx]Table1!PivotTable4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Table1!$V$11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Table1!$U$12:$U$19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Keyboard</c:v>
                </c:pt>
                <c:pt idx="3">
                  <c:v>Laptop</c:v>
                </c:pt>
                <c:pt idx="4">
                  <c:v>Mouse</c:v>
                </c:pt>
                <c:pt idx="5">
                  <c:v>Notebook</c:v>
                </c:pt>
                <c:pt idx="6">
                  <c:v>Pen Set</c:v>
                </c:pt>
              </c:strCache>
            </c:strRef>
          </c:cat>
          <c:val>
            <c:numRef>
              <c:f>Table1!$V$12:$V$19</c:f>
              <c:numCache>
                <c:formatCode>General</c:formatCode>
                <c:ptCount val="7"/>
                <c:pt idx="0">
                  <c:v>300.05</c:v>
                </c:pt>
                <c:pt idx="1">
                  <c:v>941</c:v>
                </c:pt>
                <c:pt idx="2">
                  <c:v>566.1</c:v>
                </c:pt>
                <c:pt idx="3">
                  <c:v>1761.3</c:v>
                </c:pt>
                <c:pt idx="4">
                  <c:v>1513</c:v>
                </c:pt>
                <c:pt idx="5">
                  <c:v>303.05</c:v>
                </c:pt>
                <c:pt idx="6">
                  <c:v>1037.4000000000001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A7-4A96-99B9-0847CF1E0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1935264"/>
        <c:axId val="974096384"/>
      </c:lineChart>
      <c:catAx>
        <c:axId val="107193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096384"/>
        <c:crosses val="autoZero"/>
        <c:auto val="1"/>
        <c:lblAlgn val="ctr"/>
        <c:lblOffset val="100"/>
        <c:noMultiLvlLbl val="0"/>
      </c:catAx>
      <c:valAx>
        <c:axId val="97409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93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01600">
        <a:schemeClr val="accent6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[Company_Sales_Dataset_For_Excel_Dashboard FINISH.xlsx]Table1!PivotTable2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shade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6">
              <a:tint val="7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Table1!$V$21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6F10-44EE-8105-262B96EDF5FF}"/>
              </c:ext>
            </c:extLst>
          </c:dPt>
          <c:dPt>
            <c:idx val="1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6F10-44EE-8105-262B96EDF5F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F10-44EE-8105-262B96EDF5F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F10-44EE-8105-262B96EDF5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Table1!$U$22:$U$24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Table1!$V$22:$V$24</c:f>
              <c:numCache>
                <c:formatCode>General</c:formatCode>
                <c:ptCount val="2"/>
                <c:pt idx="0">
                  <c:v>49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10-44EE-8105-262B96EDF5FF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6">
          <a:satMod val="175000"/>
          <a:alpha val="40000"/>
        </a:schemeClr>
      </a:glow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[Company_Sales_Dataset_For_Excel_Dashboard FINISH.xlsx]Table1!PivotTable3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Table1!$Y$1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Table1!$X$2:$X$9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Keyboard</c:v>
                </c:pt>
                <c:pt idx="3">
                  <c:v>Laptop</c:v>
                </c:pt>
                <c:pt idx="4">
                  <c:v>Mouse</c:v>
                </c:pt>
                <c:pt idx="5">
                  <c:v>Notebook</c:v>
                </c:pt>
                <c:pt idx="6">
                  <c:v>Pen Set</c:v>
                </c:pt>
              </c:strCache>
            </c:strRef>
          </c:cat>
          <c:val>
            <c:numRef>
              <c:f>Table1!$Y$2:$Y$9</c:f>
              <c:numCache>
                <c:formatCode>General</c:formatCode>
                <c:ptCount val="7"/>
                <c:pt idx="0">
                  <c:v>15202.75</c:v>
                </c:pt>
                <c:pt idx="1">
                  <c:v>13907.850000000002</c:v>
                </c:pt>
                <c:pt idx="2">
                  <c:v>4125.4999999999991</c:v>
                </c:pt>
                <c:pt idx="3">
                  <c:v>8462</c:v>
                </c:pt>
                <c:pt idx="4">
                  <c:v>8993</c:v>
                </c:pt>
                <c:pt idx="5">
                  <c:v>20249.849999999999</c:v>
                </c:pt>
                <c:pt idx="6">
                  <c:v>14313.750000000002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6-48CC-9922-A60B1E3B4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2945120"/>
        <c:axId val="974047904"/>
      </c:barChart>
      <c:catAx>
        <c:axId val="1092945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047904"/>
        <c:crosses val="autoZero"/>
        <c:auto val="1"/>
        <c:lblAlgn val="ctr"/>
        <c:lblOffset val="100"/>
        <c:noMultiLvlLbl val="0"/>
      </c:catAx>
      <c:valAx>
        <c:axId val="974047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94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[Company_Sales_Dataset_For_Excel_Dashboard FINISH.xlsx]Table1!PivotTable7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Table1!$Y$11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Table1!$X$12:$X$19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Keyboard</c:v>
                </c:pt>
                <c:pt idx="3">
                  <c:v>Laptop</c:v>
                </c:pt>
                <c:pt idx="4">
                  <c:v>Mouse</c:v>
                </c:pt>
                <c:pt idx="5">
                  <c:v>Notebook</c:v>
                </c:pt>
                <c:pt idx="6">
                  <c:v>Pen Set</c:v>
                </c:pt>
              </c:strCache>
            </c:strRef>
          </c:cat>
          <c:val>
            <c:numRef>
              <c:f>Table1!$Y$12:$Y$19</c:f>
              <c:numCache>
                <c:formatCode>General</c:formatCode>
                <c:ptCount val="7"/>
                <c:pt idx="0">
                  <c:v>3762</c:v>
                </c:pt>
                <c:pt idx="1">
                  <c:v>4464.6000000000004</c:v>
                </c:pt>
                <c:pt idx="2">
                  <c:v>953.7</c:v>
                </c:pt>
                <c:pt idx="3">
                  <c:v>2738.7</c:v>
                </c:pt>
                <c:pt idx="4">
                  <c:v>4275.6000000000004</c:v>
                </c:pt>
                <c:pt idx="5">
                  <c:v>4214.7</c:v>
                </c:pt>
                <c:pt idx="6">
                  <c:v>6216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E-489A-9F5C-FB8A6CEA5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91549072"/>
        <c:axId val="1092732192"/>
      </c:barChart>
      <c:catAx>
        <c:axId val="109154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732192"/>
        <c:crosses val="autoZero"/>
        <c:auto val="1"/>
        <c:lblAlgn val="ctr"/>
        <c:lblOffset val="100"/>
        <c:noMultiLvlLbl val="0"/>
      </c:catAx>
      <c:valAx>
        <c:axId val="109273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54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01600">
        <a:schemeClr val="accent6">
          <a:satMod val="175000"/>
          <a:alpha val="40000"/>
        </a:schemeClr>
      </a:glow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37923</xdr:colOff>
      <xdr:row>0</xdr:row>
      <xdr:rowOff>21871</xdr:rowOff>
    </xdr:from>
    <xdr:to>
      <xdr:col>32</xdr:col>
      <xdr:colOff>17638</xdr:colOff>
      <xdr:row>12</xdr:row>
      <xdr:rowOff>44096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C90161-7780-3452-52D8-006501EFE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17638</xdr:colOff>
      <xdr:row>13</xdr:row>
      <xdr:rowOff>39512</xdr:rowOff>
    </xdr:from>
    <xdr:to>
      <xdr:col>32</xdr:col>
      <xdr:colOff>35277</xdr:colOff>
      <xdr:row>26</xdr:row>
      <xdr:rowOff>17639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FB217C-2048-6754-F91A-4D38355EB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553861</xdr:colOff>
      <xdr:row>27</xdr:row>
      <xdr:rowOff>13053</xdr:rowOff>
    </xdr:from>
    <xdr:to>
      <xdr:col>32</xdr:col>
      <xdr:colOff>79375</xdr:colOff>
      <xdr:row>41</xdr:row>
      <xdr:rowOff>163336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E5661A-F16C-EBF8-680C-FEEBFC9AA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42334</xdr:colOff>
      <xdr:row>0</xdr:row>
      <xdr:rowOff>0</xdr:rowOff>
    </xdr:from>
    <xdr:to>
      <xdr:col>39</xdr:col>
      <xdr:colOff>599722</xdr:colOff>
      <xdr:row>12</xdr:row>
      <xdr:rowOff>44097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6664D0-1D7B-FD34-51A9-DE3B4DF57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52916</xdr:colOff>
      <xdr:row>13</xdr:row>
      <xdr:rowOff>74790</xdr:rowOff>
    </xdr:from>
    <xdr:to>
      <xdr:col>39</xdr:col>
      <xdr:colOff>582083</xdr:colOff>
      <xdr:row>28</xdr:row>
      <xdr:rowOff>39865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ACF322B-86ED-8D2F-94B6-7FEA2B06C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10079</xdr:rowOff>
    </xdr:from>
    <xdr:to>
      <xdr:col>31</xdr:col>
      <xdr:colOff>355600</xdr:colOff>
      <xdr:row>23</xdr:row>
      <xdr:rowOff>111679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077B2C1-3FCA-8D91-2AD5-72E2083BF7CC}"/>
            </a:ext>
          </a:extLst>
        </xdr:cNvPr>
        <xdr:cNvSpPr/>
      </xdr:nvSpPr>
      <xdr:spPr>
        <a:xfrm>
          <a:off x="0" y="10079"/>
          <a:ext cx="19103219" cy="427445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493888</xdr:colOff>
      <xdr:row>1</xdr:row>
      <xdr:rowOff>20157</xdr:rowOff>
    </xdr:from>
    <xdr:to>
      <xdr:col>18</xdr:col>
      <xdr:colOff>352778</xdr:colOff>
      <xdr:row>4</xdr:row>
      <xdr:rowOff>40318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7C71B9-536B-ADF1-7AC2-5F1100EE6A3C}"/>
            </a:ext>
          </a:extLst>
        </xdr:cNvPr>
        <xdr:cNvSpPr txBox="1"/>
      </xdr:nvSpPr>
      <xdr:spPr>
        <a:xfrm>
          <a:off x="6541507" y="201586"/>
          <a:ext cx="4696985" cy="56444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16200000" rotWithShape="0">
            <a:prstClr val="black">
              <a:alpha val="40000"/>
            </a:prstClr>
          </a:outerShdw>
          <a:reflection blurRad="6350" stA="52000" endA="300" endPos="35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>
              <a:solidFill>
                <a:schemeClr val="accent3">
                  <a:lumMod val="75000"/>
                </a:schemeClr>
              </a:solidFill>
            </a:rPr>
            <a:t>SALES DASHBOARD</a:t>
          </a:r>
        </a:p>
      </xdr:txBody>
    </xdr:sp>
    <xdr:clientData/>
  </xdr:twoCellAnchor>
  <xdr:twoCellAnchor>
    <xdr:from>
      <xdr:col>1</xdr:col>
      <xdr:colOff>419100</xdr:colOff>
      <xdr:row>5</xdr:row>
      <xdr:rowOff>50800</xdr:rowOff>
    </xdr:from>
    <xdr:to>
      <xdr:col>4</xdr:col>
      <xdr:colOff>431800</xdr:colOff>
      <xdr:row>7</xdr:row>
      <xdr:rowOff>139700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F2D7A61-5B11-E42E-0EFB-53E35F19A342}"/>
            </a:ext>
          </a:extLst>
        </xdr:cNvPr>
        <xdr:cNvSpPr txBox="1"/>
      </xdr:nvSpPr>
      <xdr:spPr>
        <a:xfrm>
          <a:off x="1028700" y="971550"/>
          <a:ext cx="1841500" cy="4572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>
              <a:solidFill>
                <a:schemeClr val="tx1"/>
              </a:solidFill>
            </a:rPr>
            <a:t>TOTAL SALES-1315594</a:t>
          </a:r>
        </a:p>
      </xdr:txBody>
    </xdr:sp>
    <xdr:clientData/>
  </xdr:twoCellAnchor>
  <xdr:twoCellAnchor>
    <xdr:from>
      <xdr:col>0</xdr:col>
      <xdr:colOff>514351</xdr:colOff>
      <xdr:row>8</xdr:row>
      <xdr:rowOff>152400</xdr:rowOff>
    </xdr:from>
    <xdr:to>
      <xdr:col>5</xdr:col>
      <xdr:colOff>476251</xdr:colOff>
      <xdr:row>22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C72F23-F35F-48D6-9062-613D713DCF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171450</xdr:colOff>
      <xdr:row>4</xdr:row>
      <xdr:rowOff>146050</xdr:rowOff>
    </xdr:from>
    <xdr:to>
      <xdr:col>10</xdr:col>
      <xdr:colOff>425450</xdr:colOff>
      <xdr:row>7</xdr:row>
      <xdr:rowOff>44450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36ABCF0-A0E3-A18C-3D74-57D8C7802AD4}"/>
            </a:ext>
          </a:extLst>
        </xdr:cNvPr>
        <xdr:cNvSpPr txBox="1"/>
      </xdr:nvSpPr>
      <xdr:spPr>
        <a:xfrm>
          <a:off x="4438650" y="882650"/>
          <a:ext cx="2082800" cy="4508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0"/>
            <a:t>LOWEST NET SALES-300.5</a:t>
          </a:r>
        </a:p>
      </xdr:txBody>
    </xdr:sp>
    <xdr:clientData/>
  </xdr:twoCellAnchor>
  <xdr:twoCellAnchor>
    <xdr:from>
      <xdr:col>6</xdr:col>
      <xdr:colOff>152401</xdr:colOff>
      <xdr:row>8</xdr:row>
      <xdr:rowOff>177800</xdr:rowOff>
    </xdr:from>
    <xdr:to>
      <xdr:col>11</xdr:col>
      <xdr:colOff>387350</xdr:colOff>
      <xdr:row>22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1E0BB65-F473-49D5-953E-27367DD3C1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114300</xdr:colOff>
      <xdr:row>5</xdr:row>
      <xdr:rowOff>0</xdr:rowOff>
    </xdr:from>
    <xdr:to>
      <xdr:col>16</xdr:col>
      <xdr:colOff>82550</xdr:colOff>
      <xdr:row>7</xdr:row>
      <xdr:rowOff>19049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BAB53F9-4CBE-74A2-FDD2-2A730F33C1EB}"/>
            </a:ext>
          </a:extLst>
        </xdr:cNvPr>
        <xdr:cNvSpPr txBox="1"/>
      </xdr:nvSpPr>
      <xdr:spPr>
        <a:xfrm rot="10800000" flipV="1">
          <a:off x="8039100" y="920750"/>
          <a:ext cx="1797050" cy="387349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/>
            <a:t>PENDING ORDERS-51</a:t>
          </a:r>
        </a:p>
      </xdr:txBody>
    </xdr:sp>
    <xdr:clientData/>
  </xdr:twoCellAnchor>
  <xdr:twoCellAnchor>
    <xdr:from>
      <xdr:col>12</xdr:col>
      <xdr:colOff>31750</xdr:colOff>
      <xdr:row>8</xdr:row>
      <xdr:rowOff>158750</xdr:rowOff>
    </xdr:from>
    <xdr:to>
      <xdr:col>17</xdr:col>
      <xdr:colOff>127000</xdr:colOff>
      <xdr:row>22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334CB37-4665-473D-A79E-6C62BBEDC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4</xdr:row>
      <xdr:rowOff>158750</xdr:rowOff>
    </xdr:from>
    <xdr:to>
      <xdr:col>21</xdr:col>
      <xdr:colOff>228600</xdr:colOff>
      <xdr:row>7</xdr:row>
      <xdr:rowOff>146050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8100F20-C028-F9C0-8702-5DD4FC6F7E2E}"/>
            </a:ext>
          </a:extLst>
        </xdr:cNvPr>
        <xdr:cNvSpPr txBox="1"/>
      </xdr:nvSpPr>
      <xdr:spPr>
        <a:xfrm>
          <a:off x="11582400" y="895350"/>
          <a:ext cx="1447800" cy="5397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>
              <a:solidFill>
                <a:schemeClr val="tx1"/>
              </a:solidFill>
            </a:rPr>
            <a:t>TOTAL DISCOUNT AMOUNT-85254.7</a:t>
          </a:r>
        </a:p>
      </xdr:txBody>
    </xdr:sp>
    <xdr:clientData/>
  </xdr:twoCellAnchor>
  <xdr:twoCellAnchor>
    <xdr:from>
      <xdr:col>17</xdr:col>
      <xdr:colOff>393700</xdr:colOff>
      <xdr:row>8</xdr:row>
      <xdr:rowOff>120650</xdr:rowOff>
    </xdr:from>
    <xdr:to>
      <xdr:col>23</xdr:col>
      <xdr:colOff>177800</xdr:colOff>
      <xdr:row>22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B39FD62-93EF-489E-98F1-B7E5788D01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146050</xdr:colOff>
      <xdr:row>5</xdr:row>
      <xdr:rowOff>6350</xdr:rowOff>
    </xdr:from>
    <xdr:to>
      <xdr:col>28</xdr:col>
      <xdr:colOff>323850</xdr:colOff>
      <xdr:row>8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2D7EEDC-0A83-8A86-715E-A413EE5A2593}"/>
            </a:ext>
          </a:extLst>
        </xdr:cNvPr>
        <xdr:cNvSpPr txBox="1"/>
      </xdr:nvSpPr>
      <xdr:spPr>
        <a:xfrm>
          <a:off x="15386050" y="927100"/>
          <a:ext cx="2006600" cy="5461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/>
            <a:t>HIGHEST DISCOUNT SALES-6216</a:t>
          </a:r>
        </a:p>
      </xdr:txBody>
    </xdr:sp>
    <xdr:clientData/>
  </xdr:twoCellAnchor>
  <xdr:twoCellAnchor>
    <xdr:from>
      <xdr:col>23</xdr:col>
      <xdr:colOff>400051</xdr:colOff>
      <xdr:row>8</xdr:row>
      <xdr:rowOff>171450</xdr:rowOff>
    </xdr:from>
    <xdr:to>
      <xdr:col>30</xdr:col>
      <xdr:colOff>127001</xdr:colOff>
      <xdr:row>22</xdr:row>
      <xdr:rowOff>158750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AEF5C1B-703C-4AB4-9692-671E02A64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39.50004259259" createdVersion="8" refreshedVersion="8" minRefreshableVersion="3" recordCount="100" xr:uid="{D980729F-5A03-4DEA-B904-D9D53009287C}">
  <cacheSource type="worksheet">
    <worksheetSource name="Table1_1"/>
  </cacheSource>
  <cacheFields count="16">
    <cacheField name="Order ID" numFmtId="0">
      <sharedItems containsSemiMixedTypes="0" containsString="0" containsNumber="1" containsInteger="1" minValue="1002" maxValue="1101"/>
    </cacheField>
    <cacheField name="Order Date" numFmtId="14">
      <sharedItems containsSemiMixedTypes="0" containsNonDate="0" containsDate="1" containsString="0" minDate="2026-01-03T00:00:00" maxDate="2026-07-01T00:00:00"/>
    </cacheField>
    <cacheField name="Customer Name" numFmtId="0">
      <sharedItems count="100">
        <s v="Customer 1"/>
        <s v="Customer 2"/>
        <s v="Customer 3"/>
        <s v="Customer 4"/>
        <s v="Customer 5"/>
        <s v="Customer 6"/>
        <s v="Customer 7"/>
        <s v="Customer 8"/>
        <s v="Customer 9"/>
        <s v="Customer 10"/>
        <s v="Customer 11"/>
        <s v="Customer 12"/>
        <s v="Customer 13"/>
        <s v="Customer 14"/>
        <s v="Customer 15"/>
        <s v="Customer 16"/>
        <s v="Customer 17"/>
        <s v="Customer 18"/>
        <s v="Customer 19"/>
        <s v="Customer 20"/>
        <s v="Customer 21"/>
        <s v="Customer 22"/>
        <s v="Customer 23"/>
        <s v="Customer 24"/>
        <s v="Customer 25"/>
        <s v="Customer 26"/>
        <s v="Customer 27"/>
        <s v="Customer 28"/>
        <s v="Customer 29"/>
        <s v="Customer 30"/>
        <s v="Customer 31"/>
        <s v="Customer 32"/>
        <s v="Customer 33"/>
        <s v="Customer 34"/>
        <s v="Customer 35"/>
        <s v="Customer 36"/>
        <s v="Customer 37"/>
        <s v="Customer 38"/>
        <s v="Customer 39"/>
        <s v="Customer 40"/>
        <s v="Customer 41"/>
        <s v="Customer 42"/>
        <s v="Customer 43"/>
        <s v="Customer 44"/>
        <s v="Customer 45"/>
        <s v="Customer 46"/>
        <s v="Customer 47"/>
        <s v="Customer 48"/>
        <s v="Customer 49"/>
        <s v="Customer 50"/>
        <s v="Customer 51"/>
        <s v="Customer 52"/>
        <s v="Customer 53"/>
        <s v="Customer 54"/>
        <s v="Customer 55"/>
        <s v="Customer 56"/>
        <s v="Customer 57"/>
        <s v="Customer 58"/>
        <s v="Customer 59"/>
        <s v="Customer 60"/>
        <s v="Customer 61"/>
        <s v="Customer 62"/>
        <s v="Customer 63"/>
        <s v="Customer 64"/>
        <s v="Customer 65"/>
        <s v="Customer 66"/>
        <s v="Customer 67"/>
        <s v="Customer 68"/>
        <s v="Customer 69"/>
        <s v="Customer 70"/>
        <s v="Customer 71"/>
        <s v="Customer 72"/>
        <s v="Customer 73"/>
        <s v="Customer 74"/>
        <s v="Customer 75"/>
        <s v="Customer 76"/>
        <s v="Customer 77"/>
        <s v="Customer 78"/>
        <s v="Customer 79"/>
        <s v="Customer 80"/>
        <s v="Customer 81"/>
        <s v="Customer 82"/>
        <s v="Customer 83"/>
        <s v="Customer 84"/>
        <s v="Customer 85"/>
        <s v="Customer 86"/>
        <s v="Customer 87"/>
        <s v="Customer 88"/>
        <s v="Customer 89"/>
        <s v="Customer 90"/>
        <s v="Customer 91"/>
        <s v="Customer 92"/>
        <s v="Customer 93"/>
        <s v="Customer 94"/>
        <s v="Customer 95"/>
        <s v="Customer 96"/>
        <s v="Customer 97"/>
        <s v="Customer 98"/>
        <s v="Customer 99"/>
        <s v="Customer 100"/>
      </sharedItems>
    </cacheField>
    <cacheField name="City" numFmtId="0">
      <sharedItems/>
    </cacheField>
    <cacheField name="Department" numFmtId="0">
      <sharedItems/>
    </cacheField>
    <cacheField name="Product" numFmtId="0">
      <sharedItems count="7">
        <s v="Notebook"/>
        <s v="Chair"/>
        <s v="Desk"/>
        <s v="Keyboard"/>
        <s v="Mouse"/>
        <s v="Pen Set"/>
        <s v="Laptop"/>
      </sharedItems>
    </cacheField>
    <cacheField name="Salesperson" numFmtId="0">
      <sharedItems count="4">
        <s v="Aisha"/>
        <s v="Neha"/>
        <s v="Arun"/>
        <s v="Rahul"/>
      </sharedItems>
    </cacheField>
    <cacheField name="Quantity" numFmtId="0">
      <sharedItems containsSemiMixedTypes="0" containsString="0" containsNumber="1" containsInteger="1" minValue="1" maxValue="10"/>
    </cacheField>
    <cacheField name="Unit Price" numFmtId="0">
      <sharedItems containsSemiMixedTypes="0" containsString="0" containsNumber="1" containsInteger="1" minValue="310" maxValue="4928"/>
    </cacheField>
    <cacheField name="Discount %" numFmtId="0">
      <sharedItems containsSemiMixedTypes="0" containsString="0" containsNumber="1" containsInteger="1" minValue="0" maxValue="15"/>
    </cacheField>
    <cacheField name="Status " numFmtId="0">
      <sharedItems count="2">
        <s v="Pending"/>
        <s v="Completed"/>
      </sharedItems>
    </cacheField>
    <cacheField name="Payment Method" numFmtId="0">
      <sharedItems/>
    </cacheField>
    <cacheField name="Remarks" numFmtId="0">
      <sharedItems/>
    </cacheField>
    <cacheField name="TOTAL SALES" numFmtId="0">
      <sharedItems containsSemiMixedTypes="0" containsString="0" containsNumber="1" containsInteger="1" minValue="319" maxValue="44352"/>
    </cacheField>
    <cacheField name="DIS AMOUNT" numFmtId="0">
      <sharedItems containsSemiMixedTypes="0" containsString="0" containsNumber="1" minValue="0" maxValue="6216"/>
    </cacheField>
    <cacheField name="NET SALES" numFmtId="0">
      <sharedItems containsSemiMixedTypes="0" containsString="0" containsNumber="1" minValue="300.05" maxValue="443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2"/>
    <d v="2026-04-25T00:00:00"/>
    <x v="0"/>
    <s v="KANNUR"/>
    <s v="Office Supplies"/>
    <x v="0"/>
    <x v="0"/>
    <n v="6"/>
    <n v="4924"/>
    <n v="0"/>
    <x v="0"/>
    <s v="UPI"/>
    <s v="Repeat Customer"/>
    <n v="29544"/>
    <n v="0"/>
    <n v="29544"/>
  </r>
  <r>
    <n v="1003"/>
    <d v="2026-03-21T00:00:00"/>
    <x v="1"/>
    <s v="KANNUR"/>
    <s v="Office Supplies"/>
    <x v="0"/>
    <x v="0"/>
    <n v="2"/>
    <n v="3788"/>
    <n v="15"/>
    <x v="0"/>
    <s v="UPI"/>
    <s v="No Remarks"/>
    <n v="7576"/>
    <n v="1136.4000000000001"/>
    <n v="6439.6"/>
  </r>
  <r>
    <n v="1004"/>
    <d v="2026-06-23T00:00:00"/>
    <x v="2"/>
    <s v="CALICUT"/>
    <s v="Furniture"/>
    <x v="1"/>
    <x v="1"/>
    <n v="9"/>
    <n v="636"/>
    <n v="5"/>
    <x v="1"/>
    <s v="CARD"/>
    <s v="No Remarks"/>
    <n v="5724"/>
    <n v="286.2"/>
    <n v="5437.8"/>
  </r>
  <r>
    <n v="1005"/>
    <d v="2026-03-20T00:00:00"/>
    <x v="3"/>
    <s v="THRISSUR"/>
    <s v="Furniture"/>
    <x v="2"/>
    <x v="1"/>
    <n v="5"/>
    <n v="4721"/>
    <n v="5"/>
    <x v="1"/>
    <s v="CASH"/>
    <s v="Repeat Customer"/>
    <n v="23605"/>
    <n v="1180.25"/>
    <n v="22424.75"/>
  </r>
  <r>
    <n v="1006"/>
    <d v="2026-03-10T00:00:00"/>
    <x v="4"/>
    <s v="TRIVANDRUM"/>
    <s v="Electronics"/>
    <x v="3"/>
    <x v="0"/>
    <n v="5"/>
    <n v="310"/>
    <n v="10"/>
    <x v="0"/>
    <s v="CASH"/>
    <s v="Repeat Customer"/>
    <n v="1550"/>
    <n v="155"/>
    <n v="1395"/>
  </r>
  <r>
    <n v="1007"/>
    <d v="2026-05-28T00:00:00"/>
    <x v="5"/>
    <s v="CALICUT"/>
    <s v="Electronics"/>
    <x v="4"/>
    <x v="2"/>
    <n v="4"/>
    <n v="1365"/>
    <n v="5"/>
    <x v="1"/>
    <s v="CARD"/>
    <s v="Urgent"/>
    <n v="5460"/>
    <n v="273"/>
    <n v="5187"/>
  </r>
  <r>
    <n v="1008"/>
    <d v="2026-06-21T00:00:00"/>
    <x v="6"/>
    <s v="KOCHI"/>
    <s v="Furniture"/>
    <x v="1"/>
    <x v="2"/>
    <n v="4"/>
    <n v="3367"/>
    <n v="5"/>
    <x v="0"/>
    <s v="CARD"/>
    <s v="Repeat Customer"/>
    <n v="13468"/>
    <n v="673.4"/>
    <n v="12794.6"/>
  </r>
  <r>
    <n v="1009"/>
    <d v="2026-02-27T00:00:00"/>
    <x v="7"/>
    <s v="CALICUT"/>
    <s v="Office Supplies"/>
    <x v="5"/>
    <x v="3"/>
    <n v="7"/>
    <n v="635"/>
    <n v="10"/>
    <x v="1"/>
    <s v="CASH"/>
    <s v="Repeat Customer"/>
    <n v="4445"/>
    <n v="444.5"/>
    <n v="4000.5"/>
  </r>
  <r>
    <n v="1010"/>
    <d v="2026-02-22T00:00:00"/>
    <x v="8"/>
    <s v="KOCHI"/>
    <s v="Office Supplies"/>
    <x v="5"/>
    <x v="2"/>
    <n v="2"/>
    <n v="931"/>
    <n v="10"/>
    <x v="1"/>
    <s v="CASH"/>
    <s v="New Lead"/>
    <n v="1862"/>
    <n v="186.2"/>
    <n v="1675.8"/>
  </r>
  <r>
    <n v="1011"/>
    <d v="2026-02-14T00:00:00"/>
    <x v="9"/>
    <s v="KANNUR"/>
    <s v="Office Supplies"/>
    <x v="0"/>
    <x v="2"/>
    <n v="2"/>
    <n v="1634"/>
    <n v="15"/>
    <x v="1"/>
    <s v="CARD"/>
    <s v="No Remarks"/>
    <n v="3268"/>
    <n v="490.2"/>
    <n v="2777.8"/>
  </r>
  <r>
    <n v="1012"/>
    <d v="2026-02-23T00:00:00"/>
    <x v="10"/>
    <s v="CALICUT"/>
    <s v="Furniture"/>
    <x v="2"/>
    <x v="3"/>
    <n v="7"/>
    <n v="4252"/>
    <n v="15"/>
    <x v="1"/>
    <s v="UPI"/>
    <s v="No Remarks"/>
    <n v="29764"/>
    <n v="4464.6000000000004"/>
    <n v="25299.4"/>
  </r>
  <r>
    <n v="1013"/>
    <d v="2026-06-16T00:00:00"/>
    <x v="11"/>
    <s v="CALICUT"/>
    <s v="Office Supplies"/>
    <x v="0"/>
    <x v="0"/>
    <n v="2"/>
    <n v="2374"/>
    <n v="10"/>
    <x v="0"/>
    <s v="CASH"/>
    <s v="No Remarks"/>
    <n v="4748"/>
    <n v="474.8"/>
    <n v="4273.2"/>
  </r>
  <r>
    <n v="1014"/>
    <d v="2026-06-20T00:00:00"/>
    <x v="12"/>
    <s v="KOCHI"/>
    <s v="Office Supplies"/>
    <x v="0"/>
    <x v="0"/>
    <n v="5"/>
    <n v="1612"/>
    <n v="5"/>
    <x v="1"/>
    <s v="CARD"/>
    <s v="Urgent"/>
    <n v="8060"/>
    <n v="403"/>
    <n v="7657"/>
  </r>
  <r>
    <n v="1015"/>
    <d v="2026-06-09T00:00:00"/>
    <x v="13"/>
    <s v="CALICUT"/>
    <s v="Electronics"/>
    <x v="6"/>
    <x v="3"/>
    <n v="10"/>
    <n v="1044"/>
    <n v="15"/>
    <x v="0"/>
    <s v="CARD"/>
    <s v="Repeat Customer"/>
    <n v="10440"/>
    <n v="1566"/>
    <n v="8874"/>
  </r>
  <r>
    <n v="1016"/>
    <d v="2026-04-01T00:00:00"/>
    <x v="14"/>
    <s v="KOCHI"/>
    <s v="Electronics"/>
    <x v="6"/>
    <x v="3"/>
    <n v="9"/>
    <n v="3043"/>
    <n v="10"/>
    <x v="1"/>
    <s v="CASH"/>
    <s v="No Remarks"/>
    <n v="27387"/>
    <n v="2738.7"/>
    <n v="24648.3"/>
  </r>
  <r>
    <n v="1017"/>
    <d v="2026-06-24T00:00:00"/>
    <x v="15"/>
    <s v="KANNUR"/>
    <s v="Office Supplies"/>
    <x v="0"/>
    <x v="0"/>
    <n v="1"/>
    <n v="319"/>
    <n v="5"/>
    <x v="1"/>
    <s v="CASH"/>
    <s v="Urgent"/>
    <n v="319"/>
    <n v="15.95"/>
    <n v="303.05"/>
  </r>
  <r>
    <n v="1018"/>
    <d v="2026-02-10T00:00:00"/>
    <x v="16"/>
    <s v="KANNUR"/>
    <s v="Office Supplies"/>
    <x v="0"/>
    <x v="3"/>
    <n v="8"/>
    <n v="4177"/>
    <n v="0"/>
    <x v="0"/>
    <s v="UPI"/>
    <s v="Urgent"/>
    <n v="33416"/>
    <n v="0"/>
    <n v="33416"/>
  </r>
  <r>
    <n v="1019"/>
    <d v="2026-03-18T00:00:00"/>
    <x v="17"/>
    <s v="CALICUT"/>
    <s v="Furniture"/>
    <x v="1"/>
    <x v="3"/>
    <n v="4"/>
    <n v="3996"/>
    <n v="5"/>
    <x v="1"/>
    <s v="CARD"/>
    <s v="Urgent"/>
    <n v="15984"/>
    <n v="799.2"/>
    <n v="15184.8"/>
  </r>
  <r>
    <n v="1020"/>
    <d v="2026-04-14T00:00:00"/>
    <x v="18"/>
    <s v="KANNUR"/>
    <s v="Electronics"/>
    <x v="6"/>
    <x v="0"/>
    <n v="5"/>
    <n v="1889"/>
    <n v="10"/>
    <x v="0"/>
    <s v="CASH"/>
    <s v="New Lead"/>
    <n v="9445"/>
    <n v="944.5"/>
    <n v="8500.5"/>
  </r>
  <r>
    <n v="1021"/>
    <d v="2026-05-23T00:00:00"/>
    <x v="19"/>
    <s v="THRISSUR"/>
    <s v="Office Supplies"/>
    <x v="5"/>
    <x v="1"/>
    <n v="10"/>
    <n v="1883"/>
    <n v="0"/>
    <x v="0"/>
    <s v="CASH"/>
    <s v="Urgent"/>
    <n v="18830"/>
    <n v="0"/>
    <n v="18830"/>
  </r>
  <r>
    <n v="1022"/>
    <d v="2026-02-28T00:00:00"/>
    <x v="20"/>
    <s v="KANNUR"/>
    <s v="Furniture"/>
    <x v="1"/>
    <x v="1"/>
    <n v="3"/>
    <n v="3962"/>
    <n v="5"/>
    <x v="0"/>
    <s v="CASH"/>
    <s v="Urgent"/>
    <n v="11886"/>
    <n v="594.29999999999995"/>
    <n v="11291.7"/>
  </r>
  <r>
    <n v="1023"/>
    <d v="2026-05-04T00:00:00"/>
    <x v="21"/>
    <s v="KANNUR"/>
    <s v="Office Supplies"/>
    <x v="5"/>
    <x v="1"/>
    <n v="2"/>
    <n v="1153"/>
    <n v="0"/>
    <x v="0"/>
    <s v="UPI"/>
    <s v="New Lead"/>
    <n v="2306"/>
    <n v="0"/>
    <n v="2306"/>
  </r>
  <r>
    <n v="1024"/>
    <d v="2026-02-22T00:00:00"/>
    <x v="22"/>
    <s v="CALICUT"/>
    <s v="Furniture"/>
    <x v="1"/>
    <x v="3"/>
    <n v="6"/>
    <n v="2809"/>
    <n v="5"/>
    <x v="1"/>
    <s v="UPI"/>
    <s v="Repeat Customer"/>
    <n v="16854"/>
    <n v="842.7"/>
    <n v="16011.3"/>
  </r>
  <r>
    <n v="1025"/>
    <d v="2026-04-17T00:00:00"/>
    <x v="23"/>
    <s v="CALICUT"/>
    <s v="Electronics"/>
    <x v="3"/>
    <x v="2"/>
    <n v="4"/>
    <n v="2307"/>
    <n v="10"/>
    <x v="0"/>
    <s v="UPI"/>
    <s v="Urgent"/>
    <n v="9228"/>
    <n v="922.8"/>
    <n v="8305.2000000000007"/>
  </r>
  <r>
    <n v="1026"/>
    <d v="2026-01-08T00:00:00"/>
    <x v="24"/>
    <s v="CALICUT"/>
    <s v="Furniture"/>
    <x v="2"/>
    <x v="0"/>
    <n v="2"/>
    <n v="1874"/>
    <n v="0"/>
    <x v="0"/>
    <s v="CARD"/>
    <s v="No Remarks"/>
    <n v="3748"/>
    <n v="0"/>
    <n v="3748"/>
  </r>
  <r>
    <n v="1027"/>
    <d v="2026-02-22T00:00:00"/>
    <x v="25"/>
    <s v="TRIVANDRUM"/>
    <s v="Office Supplies"/>
    <x v="0"/>
    <x v="0"/>
    <n v="9"/>
    <n v="2591"/>
    <n v="10"/>
    <x v="0"/>
    <s v="CASH"/>
    <s v="New Lead"/>
    <n v="23319"/>
    <n v="2331.9"/>
    <n v="20987.1"/>
  </r>
  <r>
    <n v="1028"/>
    <d v="2026-05-11T00:00:00"/>
    <x v="26"/>
    <s v="KOCHI"/>
    <s v="Electronics"/>
    <x v="6"/>
    <x v="2"/>
    <n v="10"/>
    <n v="2973"/>
    <n v="5"/>
    <x v="0"/>
    <s v="CARD"/>
    <s v="New Lead"/>
    <n v="29730"/>
    <n v="1486.5"/>
    <n v="28243.5"/>
  </r>
  <r>
    <n v="1029"/>
    <d v="2026-04-10T00:00:00"/>
    <x v="27"/>
    <s v="CALICUT"/>
    <s v="Office Supplies"/>
    <x v="0"/>
    <x v="2"/>
    <n v="1"/>
    <n v="1713"/>
    <n v="0"/>
    <x v="1"/>
    <s v="CARD"/>
    <s v="Repeat Customer"/>
    <n v="1713"/>
    <n v="0"/>
    <n v="1713"/>
  </r>
  <r>
    <n v="1030"/>
    <d v="2026-05-21T00:00:00"/>
    <x v="28"/>
    <s v="CALICUT"/>
    <s v="Furniture"/>
    <x v="2"/>
    <x v="3"/>
    <n v="2"/>
    <n v="4916"/>
    <n v="5"/>
    <x v="1"/>
    <s v="UPI"/>
    <s v="New Lead"/>
    <n v="9832"/>
    <n v="491.6"/>
    <n v="9340.4"/>
  </r>
  <r>
    <n v="1031"/>
    <d v="2026-02-08T00:00:00"/>
    <x v="29"/>
    <s v="THRISSUR"/>
    <s v="Furniture"/>
    <x v="2"/>
    <x v="3"/>
    <n v="7"/>
    <n v="2683"/>
    <n v="10"/>
    <x v="0"/>
    <s v="UPI"/>
    <s v="No Remarks"/>
    <n v="18781"/>
    <n v="1878.1"/>
    <n v="16902.900000000001"/>
  </r>
  <r>
    <n v="1032"/>
    <d v="2026-04-10T00:00:00"/>
    <x v="30"/>
    <s v="TRIVANDRUM"/>
    <s v="Office Supplies"/>
    <x v="5"/>
    <x v="2"/>
    <n v="10"/>
    <n v="4144"/>
    <n v="15"/>
    <x v="0"/>
    <s v="CASH"/>
    <s v="Urgent"/>
    <n v="41440"/>
    <n v="6216"/>
    <n v="35224"/>
  </r>
  <r>
    <n v="1033"/>
    <d v="2026-04-21T00:00:00"/>
    <x v="31"/>
    <s v="TRIVANDRUM"/>
    <s v="Electronics"/>
    <x v="4"/>
    <x v="1"/>
    <n v="7"/>
    <n v="4072"/>
    <n v="15"/>
    <x v="0"/>
    <s v="UPI"/>
    <s v="No Remarks"/>
    <n v="28504"/>
    <n v="4275.6000000000004"/>
    <n v="24228.400000000001"/>
  </r>
  <r>
    <n v="1034"/>
    <d v="2026-02-04T00:00:00"/>
    <x v="32"/>
    <s v="CALICUT"/>
    <s v="Furniture"/>
    <x v="2"/>
    <x v="3"/>
    <n v="9"/>
    <n v="2346"/>
    <n v="15"/>
    <x v="1"/>
    <s v="CARD"/>
    <s v="Repeat Customer"/>
    <n v="21114"/>
    <n v="3167.1"/>
    <n v="17946.900000000001"/>
  </r>
  <r>
    <n v="1035"/>
    <d v="2026-01-23T00:00:00"/>
    <x v="33"/>
    <s v="TRIVANDRUM"/>
    <s v="Office Supplies"/>
    <x v="5"/>
    <x v="3"/>
    <n v="2"/>
    <n v="546"/>
    <n v="5"/>
    <x v="0"/>
    <s v="CARD"/>
    <s v="Repeat Customer"/>
    <n v="1092"/>
    <n v="54.6"/>
    <n v="1037.4000000000001"/>
  </r>
  <r>
    <n v="1036"/>
    <d v="2026-04-01T00:00:00"/>
    <x v="34"/>
    <s v="THRISSUR"/>
    <s v="Electronics"/>
    <x v="6"/>
    <x v="2"/>
    <n v="10"/>
    <n v="705"/>
    <n v="0"/>
    <x v="1"/>
    <s v="CARD"/>
    <s v="Urgent"/>
    <n v="7050"/>
    <n v="0"/>
    <n v="7050"/>
  </r>
  <r>
    <n v="1037"/>
    <d v="2026-04-29T00:00:00"/>
    <x v="35"/>
    <s v="THRISSUR"/>
    <s v="Office Supplies"/>
    <x v="0"/>
    <x v="0"/>
    <n v="4"/>
    <n v="2514"/>
    <n v="0"/>
    <x v="1"/>
    <s v="UPI"/>
    <s v="New Lead"/>
    <n v="10056"/>
    <n v="0"/>
    <n v="10056"/>
  </r>
  <r>
    <n v="1038"/>
    <d v="2026-06-09T00:00:00"/>
    <x v="36"/>
    <s v="KOCHI"/>
    <s v="Electronics"/>
    <x v="6"/>
    <x v="1"/>
    <n v="6"/>
    <n v="1188"/>
    <n v="0"/>
    <x v="1"/>
    <s v="CASH"/>
    <s v="Urgent"/>
    <n v="7128"/>
    <n v="0"/>
    <n v="7128"/>
  </r>
  <r>
    <n v="1039"/>
    <d v="2026-03-06T00:00:00"/>
    <x v="37"/>
    <s v="KOCHI"/>
    <s v="Office Supplies"/>
    <x v="5"/>
    <x v="2"/>
    <n v="6"/>
    <n v="4718"/>
    <n v="5"/>
    <x v="1"/>
    <s v="CASH"/>
    <s v="Urgent"/>
    <n v="28308"/>
    <n v="1415.4"/>
    <n v="26892.6"/>
  </r>
  <r>
    <n v="1040"/>
    <d v="2026-06-08T00:00:00"/>
    <x v="38"/>
    <s v="THRISSUR"/>
    <s v="Electronics"/>
    <x v="3"/>
    <x v="2"/>
    <n v="8"/>
    <n v="565"/>
    <n v="15"/>
    <x v="1"/>
    <s v="CASH"/>
    <s v="Urgent"/>
    <n v="4520"/>
    <n v="678"/>
    <n v="3842"/>
  </r>
  <r>
    <n v="1041"/>
    <d v="2026-02-10T00:00:00"/>
    <x v="39"/>
    <s v="THRISSUR"/>
    <s v="Electronics"/>
    <x v="3"/>
    <x v="0"/>
    <n v="3"/>
    <n v="4102"/>
    <n v="5"/>
    <x v="1"/>
    <s v="UPI"/>
    <s v="Repeat Customer"/>
    <n v="12306"/>
    <n v="615.29999999999995"/>
    <n v="11690.7"/>
  </r>
  <r>
    <n v="1042"/>
    <d v="2026-01-30T00:00:00"/>
    <x v="40"/>
    <s v="CALICUT"/>
    <s v="Office Supplies"/>
    <x v="5"/>
    <x v="0"/>
    <n v="4"/>
    <n v="713"/>
    <n v="15"/>
    <x v="0"/>
    <s v="UPI"/>
    <s v="New Lead"/>
    <n v="2852"/>
    <n v="427.8"/>
    <n v="2424.1999999999998"/>
  </r>
  <r>
    <n v="1043"/>
    <d v="2026-05-14T00:00:00"/>
    <x v="41"/>
    <s v="KANNUR"/>
    <s v="Office Supplies"/>
    <x v="5"/>
    <x v="1"/>
    <n v="5"/>
    <n v="2283"/>
    <n v="15"/>
    <x v="1"/>
    <s v="CARD"/>
    <s v="Urgent"/>
    <n v="11415"/>
    <n v="1712.25"/>
    <n v="9702.75"/>
  </r>
  <r>
    <n v="1044"/>
    <d v="2026-02-25T00:00:00"/>
    <x v="42"/>
    <s v="KANNUR"/>
    <s v="Electronics"/>
    <x v="4"/>
    <x v="3"/>
    <n v="8"/>
    <n v="1957"/>
    <n v="10"/>
    <x v="1"/>
    <s v="UPI"/>
    <s v="Repeat Customer"/>
    <n v="15656"/>
    <n v="1565.6"/>
    <n v="14090.4"/>
  </r>
  <r>
    <n v="1045"/>
    <d v="2026-01-24T00:00:00"/>
    <x v="43"/>
    <s v="KOCHI"/>
    <s v="Furniture"/>
    <x v="1"/>
    <x v="3"/>
    <n v="10"/>
    <n v="2544"/>
    <n v="5"/>
    <x v="1"/>
    <s v="UPI"/>
    <s v="No Remarks"/>
    <n v="25440"/>
    <n v="1272"/>
    <n v="24168"/>
  </r>
  <r>
    <n v="1046"/>
    <d v="2026-06-07T00:00:00"/>
    <x v="44"/>
    <s v="THRISSUR"/>
    <s v="Furniture"/>
    <x v="1"/>
    <x v="2"/>
    <n v="1"/>
    <n v="353"/>
    <n v="15"/>
    <x v="1"/>
    <s v="CARD"/>
    <s v="Urgent"/>
    <n v="353"/>
    <n v="52.95"/>
    <n v="300.05"/>
  </r>
  <r>
    <n v="1047"/>
    <d v="2026-05-20T00:00:00"/>
    <x v="45"/>
    <s v="TRIVANDRUM"/>
    <s v="Furniture"/>
    <x v="2"/>
    <x v="3"/>
    <n v="9"/>
    <n v="4928"/>
    <n v="0"/>
    <x v="0"/>
    <s v="UPI"/>
    <s v="Urgent"/>
    <n v="44352"/>
    <n v="0"/>
    <n v="44352"/>
  </r>
  <r>
    <n v="1048"/>
    <d v="2026-02-25T00:00:00"/>
    <x v="46"/>
    <s v="THRISSUR"/>
    <s v="Office Supplies"/>
    <x v="0"/>
    <x v="3"/>
    <n v="9"/>
    <n v="1271"/>
    <n v="15"/>
    <x v="0"/>
    <s v="UPI"/>
    <s v="New Lead"/>
    <n v="11439"/>
    <n v="1715.85"/>
    <n v="9723.15"/>
  </r>
  <r>
    <n v="1049"/>
    <d v="2026-01-30T00:00:00"/>
    <x v="47"/>
    <s v="KOCHI"/>
    <s v="Office Supplies"/>
    <x v="0"/>
    <x v="2"/>
    <n v="6"/>
    <n v="4683"/>
    <n v="15"/>
    <x v="1"/>
    <s v="CARD"/>
    <s v="No Remarks"/>
    <n v="28098"/>
    <n v="4214.7"/>
    <n v="23883.3"/>
  </r>
  <r>
    <n v="1050"/>
    <d v="2026-06-16T00:00:00"/>
    <x v="48"/>
    <s v="THRISSUR"/>
    <s v="Furniture"/>
    <x v="1"/>
    <x v="3"/>
    <n v="7"/>
    <n v="2360"/>
    <n v="10"/>
    <x v="0"/>
    <s v="CARD"/>
    <s v="New Lead"/>
    <n v="16520"/>
    <n v="1652"/>
    <n v="14868"/>
  </r>
  <r>
    <n v="1051"/>
    <d v="2026-02-01T00:00:00"/>
    <x v="49"/>
    <s v="KOCHI"/>
    <s v="Furniture"/>
    <x v="1"/>
    <x v="3"/>
    <n v="10"/>
    <n v="385"/>
    <n v="0"/>
    <x v="1"/>
    <s v="CARD"/>
    <s v="No Remarks"/>
    <n v="3850"/>
    <n v="0"/>
    <n v="3850"/>
  </r>
  <r>
    <n v="1052"/>
    <d v="2026-03-29T00:00:00"/>
    <x v="50"/>
    <s v="KOCHI"/>
    <s v="Furniture"/>
    <x v="1"/>
    <x v="0"/>
    <n v="5"/>
    <n v="1649"/>
    <n v="5"/>
    <x v="0"/>
    <s v="CARD"/>
    <s v="New Lead"/>
    <n v="8245"/>
    <n v="412.25"/>
    <n v="7832.75"/>
  </r>
  <r>
    <n v="1053"/>
    <d v="2026-01-11T00:00:00"/>
    <x v="51"/>
    <s v="CALICUT"/>
    <s v="Electronics"/>
    <x v="3"/>
    <x v="0"/>
    <n v="7"/>
    <n v="4810"/>
    <n v="0"/>
    <x v="0"/>
    <s v="CASH"/>
    <s v="New Lead"/>
    <n v="33670"/>
    <n v="0"/>
    <n v="33670"/>
  </r>
  <r>
    <n v="1054"/>
    <d v="2026-05-04T00:00:00"/>
    <x v="52"/>
    <s v="CALICUT"/>
    <s v="Furniture"/>
    <x v="2"/>
    <x v="1"/>
    <n v="7"/>
    <n v="1749"/>
    <n v="15"/>
    <x v="0"/>
    <s v="UPI"/>
    <s v="New Lead"/>
    <n v="12243"/>
    <n v="1836.45"/>
    <n v="10406.549999999999"/>
  </r>
  <r>
    <n v="1055"/>
    <d v="2026-06-30T00:00:00"/>
    <x v="53"/>
    <s v="KOCHI"/>
    <s v="Office Supplies"/>
    <x v="0"/>
    <x v="3"/>
    <n v="8"/>
    <n v="1461"/>
    <n v="10"/>
    <x v="0"/>
    <s v="CASH"/>
    <s v="No Remarks"/>
    <n v="11688"/>
    <n v="1168.8"/>
    <n v="10519.2"/>
  </r>
  <r>
    <n v="1056"/>
    <d v="2026-02-13T00:00:00"/>
    <x v="54"/>
    <s v="TRIVANDRUM"/>
    <s v="Furniture"/>
    <x v="2"/>
    <x v="0"/>
    <n v="1"/>
    <n v="941"/>
    <n v="0"/>
    <x v="0"/>
    <s v="UPI"/>
    <s v="No Remarks"/>
    <n v="941"/>
    <n v="0"/>
    <n v="941"/>
  </r>
  <r>
    <n v="1057"/>
    <d v="2026-05-21T00:00:00"/>
    <x v="55"/>
    <s v="KOCHI"/>
    <s v="Furniture"/>
    <x v="1"/>
    <x v="0"/>
    <n v="3"/>
    <n v="1245"/>
    <n v="0"/>
    <x v="0"/>
    <s v="CASH"/>
    <s v="No Remarks"/>
    <n v="3735"/>
    <n v="0"/>
    <n v="3735"/>
  </r>
  <r>
    <n v="1058"/>
    <d v="2026-03-15T00:00:00"/>
    <x v="56"/>
    <s v="KOCHI"/>
    <s v="Furniture"/>
    <x v="2"/>
    <x v="3"/>
    <n v="5"/>
    <n v="3559"/>
    <n v="5"/>
    <x v="1"/>
    <s v="CASH"/>
    <s v="Repeat Customer"/>
    <n v="17795"/>
    <n v="889.75"/>
    <n v="16905.25"/>
  </r>
  <r>
    <n v="1059"/>
    <d v="2026-02-28T00:00:00"/>
    <x v="57"/>
    <s v="CALICUT"/>
    <s v="Office Supplies"/>
    <x v="0"/>
    <x v="3"/>
    <n v="4"/>
    <n v="1204"/>
    <n v="10"/>
    <x v="1"/>
    <s v="CARD"/>
    <s v="New Lead"/>
    <n v="4816"/>
    <n v="481.6"/>
    <n v="4334.3999999999996"/>
  </r>
  <r>
    <n v="1060"/>
    <d v="2026-01-23T00:00:00"/>
    <x v="58"/>
    <s v="THRISSUR"/>
    <s v="Office Supplies"/>
    <x v="0"/>
    <x v="1"/>
    <n v="10"/>
    <n v="435"/>
    <n v="10"/>
    <x v="0"/>
    <s v="UPI"/>
    <s v="New Lead"/>
    <n v="4350"/>
    <n v="435"/>
    <n v="3915"/>
  </r>
  <r>
    <n v="1061"/>
    <d v="2026-02-21T00:00:00"/>
    <x v="59"/>
    <s v="CALICUT"/>
    <s v="Furniture"/>
    <x v="1"/>
    <x v="3"/>
    <n v="4"/>
    <n v="4428"/>
    <n v="0"/>
    <x v="1"/>
    <s v="CASH"/>
    <s v="No Remarks"/>
    <n v="17712"/>
    <n v="0"/>
    <n v="17712"/>
  </r>
  <r>
    <n v="1062"/>
    <d v="2026-02-14T00:00:00"/>
    <x v="60"/>
    <s v="TRIVANDRUM"/>
    <s v="Office Supplies"/>
    <x v="5"/>
    <x v="2"/>
    <n v="4"/>
    <n v="2146"/>
    <n v="5"/>
    <x v="1"/>
    <s v="CASH"/>
    <s v="New Lead"/>
    <n v="8584"/>
    <n v="429.2"/>
    <n v="8154.8"/>
  </r>
  <r>
    <n v="1063"/>
    <d v="2026-03-11T00:00:00"/>
    <x v="61"/>
    <s v="CALICUT"/>
    <s v="Electronics"/>
    <x v="3"/>
    <x v="1"/>
    <n v="4"/>
    <n v="1168"/>
    <n v="15"/>
    <x v="1"/>
    <s v="CARD"/>
    <s v="No Remarks"/>
    <n v="4672"/>
    <n v="700.8"/>
    <n v="3971.2"/>
  </r>
  <r>
    <n v="1064"/>
    <d v="2026-02-06T00:00:00"/>
    <x v="62"/>
    <s v="CALICUT"/>
    <s v="Electronics"/>
    <x v="4"/>
    <x v="3"/>
    <n v="6"/>
    <n v="4798"/>
    <n v="10"/>
    <x v="1"/>
    <s v="CASH"/>
    <s v="Repeat Customer"/>
    <n v="28788"/>
    <n v="2878.8"/>
    <n v="25909.200000000001"/>
  </r>
  <r>
    <n v="1065"/>
    <d v="2026-03-01T00:00:00"/>
    <x v="63"/>
    <s v="KOCHI"/>
    <s v="Electronics"/>
    <x v="6"/>
    <x v="1"/>
    <n v="3"/>
    <n v="2000"/>
    <n v="10"/>
    <x v="1"/>
    <s v="CASH"/>
    <s v="No Remarks"/>
    <n v="6000"/>
    <n v="600"/>
    <n v="5400"/>
  </r>
  <r>
    <n v="1066"/>
    <d v="2026-04-03T00:00:00"/>
    <x v="64"/>
    <s v="CALICUT"/>
    <s v="Office Supplies"/>
    <x v="5"/>
    <x v="2"/>
    <n v="4"/>
    <n v="3282"/>
    <n v="15"/>
    <x v="1"/>
    <s v="CARD"/>
    <s v="New Lead"/>
    <n v="13128"/>
    <n v="1969.2"/>
    <n v="11158.8"/>
  </r>
  <r>
    <n v="1067"/>
    <d v="2026-02-14T00:00:00"/>
    <x v="65"/>
    <s v="TRIVANDRUM"/>
    <s v="Office Supplies"/>
    <x v="5"/>
    <x v="0"/>
    <n v="6"/>
    <n v="584"/>
    <n v="15"/>
    <x v="0"/>
    <s v="CASH"/>
    <s v="Urgent"/>
    <n v="3504"/>
    <n v="525.6"/>
    <n v="2978.4"/>
  </r>
  <r>
    <n v="1068"/>
    <d v="2026-01-10T00:00:00"/>
    <x v="66"/>
    <s v="TRIVANDRUM"/>
    <s v="Furniture"/>
    <x v="1"/>
    <x v="0"/>
    <n v="2"/>
    <n v="1798"/>
    <n v="10"/>
    <x v="0"/>
    <s v="CARD"/>
    <s v="No Remarks"/>
    <n v="3596"/>
    <n v="359.6"/>
    <n v="3236.4"/>
  </r>
  <r>
    <n v="1069"/>
    <d v="2026-02-08T00:00:00"/>
    <x v="67"/>
    <s v="KANNUR"/>
    <s v="Office Supplies"/>
    <x v="0"/>
    <x v="0"/>
    <n v="6"/>
    <n v="3099"/>
    <n v="5"/>
    <x v="1"/>
    <s v="CASH"/>
    <s v="Repeat Customer"/>
    <n v="18594"/>
    <n v="929.7"/>
    <n v="17664.3"/>
  </r>
  <r>
    <n v="1070"/>
    <d v="2026-05-19T00:00:00"/>
    <x v="68"/>
    <s v="CALICUT"/>
    <s v="Office Supplies"/>
    <x v="5"/>
    <x v="3"/>
    <n v="3"/>
    <n v="1879"/>
    <n v="10"/>
    <x v="1"/>
    <s v="CARD"/>
    <s v="Repeat Customer"/>
    <n v="5637"/>
    <n v="563.70000000000005"/>
    <n v="5073.3"/>
  </r>
  <r>
    <n v="1071"/>
    <d v="2026-01-07T00:00:00"/>
    <x v="69"/>
    <s v="KANNUR"/>
    <s v="Office Supplies"/>
    <x v="0"/>
    <x v="2"/>
    <n v="9"/>
    <n v="930"/>
    <n v="0"/>
    <x v="1"/>
    <s v="CARD"/>
    <s v="Repeat Customer"/>
    <n v="8370"/>
    <n v="0"/>
    <n v="8370"/>
  </r>
  <r>
    <n v="1072"/>
    <d v="2026-06-08T00:00:00"/>
    <x v="70"/>
    <s v="KOCHI"/>
    <s v="Furniture"/>
    <x v="2"/>
    <x v="0"/>
    <n v="6"/>
    <n v="4713"/>
    <n v="0"/>
    <x v="1"/>
    <s v="CASH"/>
    <s v="Repeat Customer"/>
    <n v="28278"/>
    <n v="0"/>
    <n v="28278"/>
  </r>
  <r>
    <n v="1073"/>
    <d v="2026-06-13T00:00:00"/>
    <x v="71"/>
    <s v="CALICUT"/>
    <s v="Furniture"/>
    <x v="1"/>
    <x v="0"/>
    <n v="2"/>
    <n v="3055"/>
    <n v="5"/>
    <x v="0"/>
    <s v="CARD"/>
    <s v="Urgent"/>
    <n v="6110"/>
    <n v="305.5"/>
    <n v="5804.5"/>
  </r>
  <r>
    <n v="1074"/>
    <d v="2026-06-07T00:00:00"/>
    <x v="72"/>
    <s v="TRIVANDRUM"/>
    <s v="Office Supplies"/>
    <x v="0"/>
    <x v="3"/>
    <n v="5"/>
    <n v="993"/>
    <n v="5"/>
    <x v="0"/>
    <s v="CASH"/>
    <s v="New Lead"/>
    <n v="4965"/>
    <n v="248.25"/>
    <n v="4716.75"/>
  </r>
  <r>
    <n v="1075"/>
    <d v="2026-03-29T00:00:00"/>
    <x v="73"/>
    <s v="KANNUR"/>
    <s v="Furniture"/>
    <x v="1"/>
    <x v="0"/>
    <n v="2"/>
    <n v="4128"/>
    <n v="0"/>
    <x v="0"/>
    <s v="CASH"/>
    <s v="No Remarks"/>
    <n v="8256"/>
    <n v="0"/>
    <n v="8256"/>
  </r>
  <r>
    <n v="1076"/>
    <d v="2026-06-20T00:00:00"/>
    <x v="74"/>
    <s v="THRISSUR"/>
    <s v="Office Supplies"/>
    <x v="0"/>
    <x v="3"/>
    <n v="4"/>
    <n v="4162"/>
    <n v="10"/>
    <x v="0"/>
    <s v="UPI"/>
    <s v="Urgent"/>
    <n v="16648"/>
    <n v="1664.8"/>
    <n v="14983.2"/>
  </r>
  <r>
    <n v="1077"/>
    <d v="2026-03-14T00:00:00"/>
    <x v="75"/>
    <s v="CALICUT"/>
    <s v="Office Supplies"/>
    <x v="5"/>
    <x v="1"/>
    <n v="8"/>
    <n v="3138"/>
    <n v="0"/>
    <x v="0"/>
    <s v="CARD"/>
    <s v="New Lead"/>
    <n v="25104"/>
    <n v="0"/>
    <n v="25104"/>
  </r>
  <r>
    <n v="1078"/>
    <d v="2026-06-21T00:00:00"/>
    <x v="76"/>
    <s v="CALICUT"/>
    <s v="Furniture"/>
    <x v="1"/>
    <x v="1"/>
    <n v="3"/>
    <n v="1393"/>
    <n v="5"/>
    <x v="1"/>
    <s v="CARD"/>
    <s v="New Lead"/>
    <n v="4179"/>
    <n v="208.95"/>
    <n v="3970.05"/>
  </r>
  <r>
    <n v="1079"/>
    <d v="2026-02-20T00:00:00"/>
    <x v="77"/>
    <s v="KANNUR"/>
    <s v="Furniture"/>
    <x v="1"/>
    <x v="3"/>
    <n v="9"/>
    <n v="4425"/>
    <n v="0"/>
    <x v="1"/>
    <s v="UPI"/>
    <s v="New Lead"/>
    <n v="39825"/>
    <n v="0"/>
    <n v="39825"/>
  </r>
  <r>
    <n v="1080"/>
    <d v="2026-04-19T00:00:00"/>
    <x v="78"/>
    <s v="KOCHI"/>
    <s v="Electronics"/>
    <x v="4"/>
    <x v="0"/>
    <n v="4"/>
    <n v="4656"/>
    <n v="0"/>
    <x v="0"/>
    <s v="UPI"/>
    <s v="New Lead"/>
    <n v="18624"/>
    <n v="0"/>
    <n v="18624"/>
  </r>
  <r>
    <n v="1081"/>
    <d v="2026-01-13T00:00:00"/>
    <x v="79"/>
    <s v="TRIVANDRUM"/>
    <s v="Electronics"/>
    <x v="4"/>
    <x v="0"/>
    <n v="1"/>
    <n v="1513"/>
    <n v="0"/>
    <x v="0"/>
    <s v="CARD"/>
    <s v="Repeat Customer"/>
    <n v="1513"/>
    <n v="0"/>
    <n v="1513"/>
  </r>
  <r>
    <n v="1082"/>
    <d v="2026-03-30T00:00:00"/>
    <x v="80"/>
    <s v="THRISSUR"/>
    <s v="Furniture"/>
    <x v="1"/>
    <x v="0"/>
    <n v="10"/>
    <n v="2508"/>
    <n v="15"/>
    <x v="1"/>
    <s v="UPI"/>
    <s v="New Lead"/>
    <n v="25080"/>
    <n v="3762"/>
    <n v="21318"/>
  </r>
  <r>
    <n v="1083"/>
    <d v="2026-03-04T00:00:00"/>
    <x v="81"/>
    <s v="CALICUT"/>
    <s v="Electronics"/>
    <x v="3"/>
    <x v="2"/>
    <n v="2"/>
    <n v="2555"/>
    <n v="0"/>
    <x v="0"/>
    <s v="UPI"/>
    <s v="No Remarks"/>
    <n v="5110"/>
    <n v="0"/>
    <n v="5110"/>
  </r>
  <r>
    <n v="1084"/>
    <d v="2026-02-25T00:00:00"/>
    <x v="82"/>
    <s v="KOCHI"/>
    <s v="Electronics"/>
    <x v="3"/>
    <x v="1"/>
    <n v="6"/>
    <n v="3179"/>
    <n v="5"/>
    <x v="0"/>
    <s v="CARD"/>
    <s v="New Lead"/>
    <n v="19074"/>
    <n v="953.7"/>
    <n v="18120.3"/>
  </r>
  <r>
    <n v="1085"/>
    <d v="2026-03-01T00:00:00"/>
    <x v="83"/>
    <s v="TRIVANDRUM"/>
    <s v="Office Supplies"/>
    <x v="5"/>
    <x v="1"/>
    <n v="3"/>
    <n v="2462"/>
    <n v="5"/>
    <x v="0"/>
    <s v="CASH"/>
    <s v="Urgent"/>
    <n v="7386"/>
    <n v="369.3"/>
    <n v="7016.7"/>
  </r>
  <r>
    <n v="1086"/>
    <d v="2026-04-08T00:00:00"/>
    <x v="84"/>
    <s v="CALICUT"/>
    <s v="Electronics"/>
    <x v="3"/>
    <x v="2"/>
    <n v="2"/>
    <n v="4560"/>
    <n v="0"/>
    <x v="1"/>
    <s v="CARD"/>
    <s v="New Lead"/>
    <n v="9120"/>
    <n v="0"/>
    <n v="9120"/>
  </r>
  <r>
    <n v="1087"/>
    <d v="2026-01-06T00:00:00"/>
    <x v="85"/>
    <s v="KANNUR"/>
    <s v="Electronics"/>
    <x v="6"/>
    <x v="3"/>
    <n v="6"/>
    <n v="3102"/>
    <n v="5"/>
    <x v="0"/>
    <s v="CARD"/>
    <s v="New Lead"/>
    <n v="18612"/>
    <n v="930.6"/>
    <n v="17681.400000000001"/>
  </r>
  <r>
    <n v="1088"/>
    <d v="2026-03-13T00:00:00"/>
    <x v="86"/>
    <s v="TRIVANDRUM"/>
    <s v="Furniture"/>
    <x v="2"/>
    <x v="3"/>
    <n v="2"/>
    <n v="3298"/>
    <n v="0"/>
    <x v="1"/>
    <s v="CARD"/>
    <s v="No Remarks"/>
    <n v="6596"/>
    <n v="0"/>
    <n v="6596"/>
  </r>
  <r>
    <n v="1089"/>
    <d v="2026-01-27T00:00:00"/>
    <x v="87"/>
    <s v="TRIVANDRUM"/>
    <s v="Office Supplies"/>
    <x v="0"/>
    <x v="3"/>
    <n v="6"/>
    <n v="2909"/>
    <n v="15"/>
    <x v="1"/>
    <s v="UPI"/>
    <s v="Repeat Customer"/>
    <n v="17454"/>
    <n v="2618.1"/>
    <n v="14835.9"/>
  </r>
  <r>
    <n v="1090"/>
    <d v="2026-03-07T00:00:00"/>
    <x v="88"/>
    <s v="THRISSUR"/>
    <s v="Electronics"/>
    <x v="6"/>
    <x v="1"/>
    <n v="1"/>
    <n v="1957"/>
    <n v="10"/>
    <x v="0"/>
    <s v="UPI"/>
    <s v="Urgent"/>
    <n v="1957"/>
    <n v="195.7"/>
    <n v="1761.3"/>
  </r>
  <r>
    <n v="1091"/>
    <d v="2026-01-03T00:00:00"/>
    <x v="89"/>
    <s v="KANNUR"/>
    <s v="Office Supplies"/>
    <x v="0"/>
    <x v="0"/>
    <n v="2"/>
    <n v="1703"/>
    <n v="10"/>
    <x v="0"/>
    <s v="UPI"/>
    <s v="No Remarks"/>
    <n v="3406"/>
    <n v="340.6"/>
    <n v="3065.4"/>
  </r>
  <r>
    <n v="1092"/>
    <d v="2026-04-30T00:00:00"/>
    <x v="90"/>
    <s v="KANNUR"/>
    <s v="Office Supplies"/>
    <x v="0"/>
    <x v="3"/>
    <n v="7"/>
    <n v="1418"/>
    <n v="5"/>
    <x v="0"/>
    <s v="CASH"/>
    <s v="No Remarks"/>
    <n v="9926"/>
    <n v="496.3"/>
    <n v="9429.7000000000007"/>
  </r>
  <r>
    <n v="1093"/>
    <d v="2026-04-10T00:00:00"/>
    <x v="91"/>
    <s v="TRIVANDRUM"/>
    <s v="Office Supplies"/>
    <x v="5"/>
    <x v="0"/>
    <n v="5"/>
    <n v="4271"/>
    <n v="0"/>
    <x v="0"/>
    <s v="CARD"/>
    <s v="Urgent"/>
    <n v="21355"/>
    <n v="0"/>
    <n v="21355"/>
  </r>
  <r>
    <n v="1094"/>
    <d v="2026-05-06T00:00:00"/>
    <x v="92"/>
    <s v="TRIVANDRUM"/>
    <s v="Electronics"/>
    <x v="3"/>
    <x v="0"/>
    <n v="1"/>
    <n v="666"/>
    <n v="15"/>
    <x v="0"/>
    <s v="CARD"/>
    <s v="Repeat Customer"/>
    <n v="666"/>
    <n v="99.9"/>
    <n v="566.1"/>
  </r>
  <r>
    <n v="1095"/>
    <d v="2026-04-12T00:00:00"/>
    <x v="93"/>
    <s v="KANNUR"/>
    <s v="Furniture"/>
    <x v="1"/>
    <x v="3"/>
    <n v="6"/>
    <n v="2059"/>
    <n v="5"/>
    <x v="1"/>
    <s v="CARD"/>
    <s v="Repeat Customer"/>
    <n v="12354"/>
    <n v="617.70000000000005"/>
    <n v="11736.3"/>
  </r>
  <r>
    <n v="1096"/>
    <d v="2026-04-26T00:00:00"/>
    <x v="94"/>
    <s v="KOCHI"/>
    <s v="Office Supplies"/>
    <x v="0"/>
    <x v="0"/>
    <n v="4"/>
    <n v="1564"/>
    <n v="0"/>
    <x v="1"/>
    <s v="CASH"/>
    <s v="Urgent"/>
    <n v="6256"/>
    <n v="0"/>
    <n v="6256"/>
  </r>
  <r>
    <n v="1097"/>
    <d v="2026-05-24T00:00:00"/>
    <x v="95"/>
    <s v="KANNUR"/>
    <s v="Office Supplies"/>
    <x v="0"/>
    <x v="2"/>
    <n v="10"/>
    <n v="1447"/>
    <n v="5"/>
    <x v="1"/>
    <s v="CASH"/>
    <s v="Repeat Customer"/>
    <n v="14470"/>
    <n v="723.5"/>
    <n v="13746.5"/>
  </r>
  <r>
    <n v="1098"/>
    <d v="2026-03-13T00:00:00"/>
    <x v="96"/>
    <s v="THRISSUR"/>
    <s v="Office Supplies"/>
    <x v="5"/>
    <x v="2"/>
    <n v="7"/>
    <n v="3739"/>
    <n v="0"/>
    <x v="0"/>
    <s v="CARD"/>
    <s v="Repeat Customer"/>
    <n v="26173"/>
    <n v="0"/>
    <n v="26173"/>
  </r>
  <r>
    <n v="1099"/>
    <d v="2026-02-19T00:00:00"/>
    <x v="97"/>
    <s v="THRISSUR"/>
    <s v="Furniture"/>
    <x v="1"/>
    <x v="3"/>
    <n v="1"/>
    <n v="4096"/>
    <n v="10"/>
    <x v="0"/>
    <s v="CARD"/>
    <s v="New Lead"/>
    <n v="4096"/>
    <n v="409.6"/>
    <n v="3686.4"/>
  </r>
  <r>
    <n v="1100"/>
    <d v="2026-02-06T00:00:00"/>
    <x v="98"/>
    <s v="KANNUR"/>
    <s v="Furniture"/>
    <x v="1"/>
    <x v="2"/>
    <n v="8"/>
    <n v="3693"/>
    <n v="10"/>
    <x v="1"/>
    <s v="UPI"/>
    <s v="Urgent"/>
    <n v="29544"/>
    <n v="2954.4"/>
    <n v="26589.599999999999"/>
  </r>
  <r>
    <n v="1101"/>
    <d v="2026-05-09T00:00:00"/>
    <x v="99"/>
    <s v="THRISSUR"/>
    <s v="Office Supplies"/>
    <x v="0"/>
    <x v="2"/>
    <n v="1"/>
    <n v="3604"/>
    <n v="10"/>
    <x v="0"/>
    <s v="CARD"/>
    <s v="No Remarks"/>
    <n v="3604"/>
    <n v="360.4"/>
    <n v="3243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E28691-4858-4A53-A64B-C8F622C10186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X11:Y19" firstHeaderRow="1" firstDataRow="1" firstDataCol="1"/>
  <pivotFields count="16">
    <pivotField showAll="0"/>
    <pivotField numFmtId="14" showAll="0"/>
    <pivotField showAll="0"/>
    <pivotField showAll="0"/>
    <pivotField showAll="0"/>
    <pivotField axis="axisRow" showAll="0">
      <items count="8">
        <item x="1"/>
        <item x="2"/>
        <item x="3"/>
        <item x="6"/>
        <item x="4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Max of DIS AMOUNT" fld="14" subtotal="max" baseField="5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8BB72F-4489-4DE8-85D2-2470E0BC8433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X1:Y9" firstHeaderRow="1" firstDataRow="1" firstDataCol="1"/>
  <pivotFields count="16">
    <pivotField showAll="0"/>
    <pivotField numFmtId="14" showAll="0"/>
    <pivotField showAll="0"/>
    <pivotField showAll="0"/>
    <pivotField showAll="0"/>
    <pivotField axis="axisRow" showAll="0">
      <items count="8">
        <item x="1"/>
        <item x="2"/>
        <item x="3"/>
        <item x="6"/>
        <item x="4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DIS AMOUNT" fld="1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74CF9-3BAD-4521-8523-BE6F287BAC4F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U21:V24" firstHeaderRow="1" firstDataRow="1" firstDataCol="1"/>
  <pivotFields count="16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Order ID" fld="0" subtotal="count" baseField="1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C35CEB-5DCD-4328-B7A4-46868195D421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U11:V19" firstHeaderRow="1" firstDataRow="1" firstDataCol="1"/>
  <pivotFields count="16">
    <pivotField showAll="0"/>
    <pivotField numFmtId="14" showAll="0"/>
    <pivotField showAll="0"/>
    <pivotField showAll="0"/>
    <pivotField showAll="0"/>
    <pivotField axis="axisRow" showAll="0">
      <items count="8">
        <item x="1"/>
        <item x="2"/>
        <item x="3"/>
        <item x="6"/>
        <item x="4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Min of NET SALES" fld="15" subtotal="min" baseField="5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8946D5-CF10-4D53-A9D5-607046E6900B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U1:V9" firstHeaderRow="1" firstDataRow="1" firstDataCol="1"/>
  <pivotFields count="16">
    <pivotField showAll="0"/>
    <pivotField numFmtId="14" showAll="0"/>
    <pivotField showAll="0"/>
    <pivotField showAll="0"/>
    <pivotField showAll="0"/>
    <pivotField axis="axisRow" showAll="0">
      <items count="8">
        <item x="1"/>
        <item x="2"/>
        <item x="3"/>
        <item x="6"/>
        <item x="4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NET SALES" fld="1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945868-93B8-488E-8096-C9C926B94AC0}" autoFormatId="16" applyNumberFormats="0" applyBorderFormats="0" applyFontFormats="0" applyPatternFormats="0" applyAlignmentFormats="0" applyWidthHeightFormats="0">
  <queryTableRefresh nextId="17" unboundColumnsRight="3">
    <queryTableFields count="16">
      <queryTableField id="1" name="Order ID" tableColumnId="1"/>
      <queryTableField id="2" name="Order Date" tableColumnId="2"/>
      <queryTableField id="3" name="Customer Name" tableColumnId="3"/>
      <queryTableField id="4" name="City" tableColumnId="4"/>
      <queryTableField id="5" name="Department" tableColumnId="5"/>
      <queryTableField id="6" name="Product" tableColumnId="6"/>
      <queryTableField id="7" name="Salesperson" tableColumnId="7"/>
      <queryTableField id="8" name="Quantity" tableColumnId="8"/>
      <queryTableField id="9" name="Unit Price" tableColumnId="9"/>
      <queryTableField id="10" name="Discount %" tableColumnId="10"/>
      <queryTableField id="11" name="Status " tableColumnId="11"/>
      <queryTableField id="12" name="Payment Method" tableColumnId="12"/>
      <queryTableField id="13" name="Remarks" tableColumnId="13"/>
      <queryTableField id="14" dataBound="0" tableColumnId="14"/>
      <queryTableField id="15" dataBound="0" tableColumnId="15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8200C8-429A-4F91-AB22-B17F0D89F27E}" name="Table1_1" displayName="Table1_1" ref="A1:P101" tableType="queryTable" totalsRowShown="0">
  <autoFilter ref="A1:P101" xr:uid="{8F8200C8-429A-4F91-AB22-B17F0D89F27E}"/>
  <tableColumns count="16">
    <tableColumn id="1" xr3:uid="{157B440C-4C7D-425D-B356-CFDD0C6657BD}" uniqueName="1" name="Order ID" queryTableFieldId="1"/>
    <tableColumn id="2" xr3:uid="{1BAA6ACD-5E88-427D-BF78-DDBD537B9867}" uniqueName="2" name="Order Date" queryTableFieldId="2" dataDxfId="12"/>
    <tableColumn id="3" xr3:uid="{71A99A99-93C0-4E15-A878-80429AA5287A}" uniqueName="3" name="Customer Name" queryTableFieldId="3" dataDxfId="11"/>
    <tableColumn id="4" xr3:uid="{0CBC1860-6EB4-4A29-B5EE-F19776636ACD}" uniqueName="4" name="City" queryTableFieldId="4" dataDxfId="10"/>
    <tableColumn id="5" xr3:uid="{778F9F00-F2C2-412D-ACF9-3CC2022D49D0}" uniqueName="5" name="Department" queryTableFieldId="5" dataDxfId="9"/>
    <tableColumn id="6" xr3:uid="{542853DD-3097-41DE-A136-926374A4D0C1}" uniqueName="6" name="Product" queryTableFieldId="6" dataDxfId="8"/>
    <tableColumn id="7" xr3:uid="{A04F3355-64BA-459F-A0AA-1BE331B1E0FD}" uniqueName="7" name="Salesperson" queryTableFieldId="7" dataDxfId="7"/>
    <tableColumn id="8" xr3:uid="{276758FB-DD1F-4032-B295-4DA910E0803E}" uniqueName="8" name="Quantity" queryTableFieldId="8"/>
    <tableColumn id="9" xr3:uid="{11F34CD4-4B31-4E24-9E59-EA5A64AD720D}" uniqueName="9" name="Unit Price" queryTableFieldId="9"/>
    <tableColumn id="10" xr3:uid="{610087D9-05A5-4ACA-AF29-02CBA84C267A}" uniqueName="10" name="Discount %" queryTableFieldId="10"/>
    <tableColumn id="11" xr3:uid="{180D345C-F83F-48E0-995C-506468638718}" uniqueName="11" name="Status " queryTableFieldId="11" dataDxfId="6"/>
    <tableColumn id="12" xr3:uid="{917E60B2-51D5-49B5-8EC4-B14130405CB0}" uniqueName="12" name="Payment Method" queryTableFieldId="12" dataDxfId="5"/>
    <tableColumn id="13" xr3:uid="{984F8754-AFE2-49F8-9F17-7D9619387CD5}" uniqueName="13" name="Remarks" queryTableFieldId="13" dataDxfId="4"/>
    <tableColumn id="14" xr3:uid="{351BEABE-25F8-40C5-AE34-8C6D04BCDE2D}" uniqueName="14" name="TOTAL SALES" queryTableFieldId="14" dataDxfId="3">
      <calculatedColumnFormula>Table1_1[[#This Row],[Quantity]]*Table1_1[[#This Row],[Unit Price]]</calculatedColumnFormula>
    </tableColumn>
    <tableColumn id="15" xr3:uid="{814CD3C0-3B3D-4286-A72F-ED48F66B7178}" uniqueName="15" name="DIS AMOUNT" queryTableFieldId="15" dataDxfId="2">
      <calculatedColumnFormula>Table1_1[[#This Row],[TOTAL SALES]]*Table1_1[[#This Row],[Discount %]]/100</calculatedColumnFormula>
    </tableColumn>
    <tableColumn id="16" xr3:uid="{ABCC0A13-F085-4EDB-8ABA-32FD7DA97270}" uniqueName="16" name="NET SALES" queryTableFieldId="16" dataDxfId="1">
      <calculatedColumnFormula>Table1_1[[#This Row],[TOTAL SALES]]-Table1_1[[#This Row],[DIS AMOUNT]]</calculatedColumnFormula>
    </tableColumn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EBADAC-2E8D-4261-B6E6-7F9393614FB2}" name="Table3" displayName="Table3" ref="R1:S6" totalsRowShown="0">
  <autoFilter ref="R1:S6" xr:uid="{95EBADAC-2E8D-4261-B6E6-7F9393614FB2}"/>
  <tableColumns count="2">
    <tableColumn id="1" xr3:uid="{D391DE5F-A250-4DF3-BAC1-6EE232CBBDB9}" name="KPIS"/>
    <tableColumn id="2" xr3:uid="{D3D4D914-C69B-4ECA-8E93-B1D6E292771A}" name="A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667AFD-0DED-40E7-B3F1-F2C099B9C394}" name="Table1" displayName="Table1" ref="A1:M101" totalsRowShown="0">
  <autoFilter ref="A1:M101" xr:uid="{CF667AFD-0DED-40E7-B3F1-F2C099B9C394}"/>
  <tableColumns count="13">
    <tableColumn id="1" xr3:uid="{47464C54-12E8-401A-9F82-E4137ABD334D}" name="Order ID"/>
    <tableColumn id="2" xr3:uid="{9738A4A0-B0B9-412D-9E9E-57DE2B6C24D2}" name="Order Date" dataDxfId="0"/>
    <tableColumn id="3" xr3:uid="{E32DE820-1067-4395-8B34-F197A6369EFF}" name="Customer Name"/>
    <tableColumn id="4" xr3:uid="{575666A3-951C-4E30-AD39-7C5796B4A239}" name="City"/>
    <tableColumn id="5" xr3:uid="{3E88D1ED-EA0C-44A3-9970-CEC8AA6EF3C9}" name="Department"/>
    <tableColumn id="6" xr3:uid="{49DE6BA6-0400-43E4-802C-B18B773D5680}" name="Product"/>
    <tableColumn id="7" xr3:uid="{50FEF3CB-985C-4129-9983-0330826AACCD}" name="Salesperson"/>
    <tableColumn id="8" xr3:uid="{89B1517E-49EC-4F95-AAEF-BE55A8DB0BAF}" name="Quantity"/>
    <tableColumn id="9" xr3:uid="{044DB8AA-B6A1-49C5-A88A-2230C6602DF0}" name="Unit Price"/>
    <tableColumn id="10" xr3:uid="{C5F99B98-6E55-4BE3-B70C-D58A975C0474}" name="Discount %"/>
    <tableColumn id="11" xr3:uid="{A941CE79-DC19-4681-82F3-E7D615F0F2CC}" name="Status "/>
    <tableColumn id="12" xr3:uid="{1953FA46-7D20-4EC0-9261-BE09041BA3A8}" name="Payment Method"/>
    <tableColumn id="13" xr3:uid="{1E5B7EC2-A98F-40A9-86BC-6D310ED7FD53}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1A55B-C817-4EF1-9123-066DF3B12C9C}">
  <dimension ref="A1:Y101"/>
  <sheetViews>
    <sheetView topLeftCell="W14" zoomScale="72" zoomScaleNormal="72" workbookViewId="0">
      <selection activeCell="AS19" sqref="AS19"/>
    </sheetView>
  </sheetViews>
  <sheetFormatPr defaultRowHeight="14.5" x14ac:dyDescent="0.35"/>
  <cols>
    <col min="1" max="1" width="10.26953125" bestFit="1" customWidth="1"/>
    <col min="2" max="2" width="12.453125" bestFit="1" customWidth="1"/>
    <col min="3" max="3" width="16.7265625" bestFit="1" customWidth="1"/>
    <col min="4" max="4" width="12.36328125" bestFit="1" customWidth="1"/>
    <col min="5" max="5" width="13.36328125" bestFit="1" customWidth="1"/>
    <col min="6" max="6" width="9.7265625" bestFit="1" customWidth="1"/>
    <col min="7" max="7" width="13.08984375" bestFit="1" customWidth="1"/>
    <col min="8" max="8" width="10.453125" bestFit="1" customWidth="1"/>
    <col min="9" max="9" width="11.1796875" bestFit="1" customWidth="1"/>
    <col min="10" max="10" width="12.36328125" bestFit="1" customWidth="1"/>
    <col min="11" max="11" width="9.90625" bestFit="1" customWidth="1"/>
    <col min="12" max="12" width="17.81640625" bestFit="1" customWidth="1"/>
    <col min="13" max="13" width="15.26953125" bestFit="1" customWidth="1"/>
    <col min="14" max="14" width="14.26953125" bestFit="1" customWidth="1"/>
    <col min="15" max="15" width="14.6328125" bestFit="1" customWidth="1"/>
    <col min="16" max="16" width="12.08984375" bestFit="1" customWidth="1"/>
    <col min="18" max="18" width="26" bestFit="1" customWidth="1"/>
    <col min="19" max="19" width="7.90625" customWidth="1"/>
    <col min="21" max="21" width="13.6328125" bestFit="1" customWidth="1"/>
    <col min="22" max="22" width="16.26953125" bestFit="1" customWidth="1"/>
    <col min="24" max="24" width="13.6328125" bestFit="1" customWidth="1"/>
    <col min="25" max="25" width="18.906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154</v>
      </c>
      <c r="O1" t="s">
        <v>155</v>
      </c>
      <c r="P1" t="s">
        <v>156</v>
      </c>
      <c r="R1" t="s">
        <v>157</v>
      </c>
      <c r="S1" t="s">
        <v>159</v>
      </c>
      <c r="U1" s="3" t="s">
        <v>160</v>
      </c>
      <c r="V1" t="s">
        <v>162</v>
      </c>
      <c r="X1" s="3" t="s">
        <v>160</v>
      </c>
      <c r="Y1" t="s">
        <v>168</v>
      </c>
    </row>
    <row r="2" spans="1:25" x14ac:dyDescent="0.35">
      <c r="A2">
        <v>1002</v>
      </c>
      <c r="B2" s="2">
        <v>46137</v>
      </c>
      <c r="C2" t="s">
        <v>13</v>
      </c>
      <c r="D2" t="s">
        <v>141</v>
      </c>
      <c r="E2" t="s">
        <v>15</v>
      </c>
      <c r="F2" t="s">
        <v>16</v>
      </c>
      <c r="G2" t="s">
        <v>17</v>
      </c>
      <c r="H2">
        <v>6</v>
      </c>
      <c r="I2">
        <v>4924</v>
      </c>
      <c r="J2">
        <v>0</v>
      </c>
      <c r="K2" t="s">
        <v>142</v>
      </c>
      <c r="L2" t="s">
        <v>19</v>
      </c>
      <c r="M2" t="s">
        <v>143</v>
      </c>
      <c r="N2">
        <f>Table1_1[[#This Row],[Quantity]]*Table1_1[[#This Row],[Unit Price]]</f>
        <v>29544</v>
      </c>
      <c r="O2">
        <f>Table1_1[[#This Row],[TOTAL SALES]]*Table1_1[[#This Row],[Discount %]]/100</f>
        <v>0</v>
      </c>
      <c r="P2">
        <f>Table1_1[[#This Row],[TOTAL SALES]]-Table1_1[[#This Row],[DIS AMOUNT]]</f>
        <v>29544</v>
      </c>
      <c r="R2" t="s">
        <v>154</v>
      </c>
      <c r="S2">
        <f>SUM(Table1_1[TOTAL SALES])</f>
        <v>1315594</v>
      </c>
      <c r="U2" s="4" t="s">
        <v>26</v>
      </c>
      <c r="V2">
        <v>257608.24999999997</v>
      </c>
      <c r="X2" s="4" t="s">
        <v>26</v>
      </c>
      <c r="Y2" s="5">
        <v>15202.75</v>
      </c>
    </row>
    <row r="3" spans="1:25" x14ac:dyDescent="0.35">
      <c r="A3">
        <v>1003</v>
      </c>
      <c r="B3" s="2">
        <v>46102</v>
      </c>
      <c r="C3" t="s">
        <v>21</v>
      </c>
      <c r="D3" t="s">
        <v>141</v>
      </c>
      <c r="E3" t="s">
        <v>15</v>
      </c>
      <c r="F3" t="s">
        <v>16</v>
      </c>
      <c r="G3" t="s">
        <v>17</v>
      </c>
      <c r="H3">
        <v>2</v>
      </c>
      <c r="I3">
        <v>3788</v>
      </c>
      <c r="J3">
        <v>15</v>
      </c>
      <c r="K3" t="s">
        <v>142</v>
      </c>
      <c r="L3" t="s">
        <v>19</v>
      </c>
      <c r="M3" t="s">
        <v>153</v>
      </c>
      <c r="N3">
        <f>Table1_1[[#This Row],[Quantity]]*Table1_1[[#This Row],[Unit Price]]</f>
        <v>7576</v>
      </c>
      <c r="O3">
        <f>Table1_1[[#This Row],[TOTAL SALES]]*Table1_1[[#This Row],[Discount %]]/100</f>
        <v>1136.4000000000001</v>
      </c>
      <c r="P3">
        <f>Table1_1[[#This Row],[TOTAL SALES]]-Table1_1[[#This Row],[DIS AMOUNT]]</f>
        <v>6439.6</v>
      </c>
      <c r="R3" t="s">
        <v>164</v>
      </c>
      <c r="S3">
        <f>MIN(Table1_1[NET SALES])</f>
        <v>300.05</v>
      </c>
      <c r="U3" s="4" t="s">
        <v>32</v>
      </c>
      <c r="V3">
        <v>203141.15</v>
      </c>
      <c r="X3" s="4" t="s">
        <v>32</v>
      </c>
      <c r="Y3" s="5">
        <v>13907.850000000002</v>
      </c>
    </row>
    <row r="4" spans="1:25" x14ac:dyDescent="0.35">
      <c r="A4">
        <v>1004</v>
      </c>
      <c r="B4" s="2">
        <v>46196</v>
      </c>
      <c r="C4" t="s">
        <v>23</v>
      </c>
      <c r="D4" t="s">
        <v>144</v>
      </c>
      <c r="E4" t="s">
        <v>25</v>
      </c>
      <c r="F4" t="s">
        <v>26</v>
      </c>
      <c r="G4" t="s">
        <v>27</v>
      </c>
      <c r="H4">
        <v>9</v>
      </c>
      <c r="I4">
        <v>636</v>
      </c>
      <c r="J4">
        <v>5</v>
      </c>
      <c r="K4" t="s">
        <v>145</v>
      </c>
      <c r="L4" t="s">
        <v>146</v>
      </c>
      <c r="M4" t="s">
        <v>153</v>
      </c>
      <c r="N4">
        <f>Table1_1[[#This Row],[Quantity]]*Table1_1[[#This Row],[Unit Price]]</f>
        <v>5724</v>
      </c>
      <c r="O4">
        <f>Table1_1[[#This Row],[TOTAL SALES]]*Table1_1[[#This Row],[Discount %]]/100</f>
        <v>286.2</v>
      </c>
      <c r="P4">
        <f>Table1_1[[#This Row],[TOTAL SALES]]-Table1_1[[#This Row],[DIS AMOUNT]]</f>
        <v>5437.8</v>
      </c>
      <c r="R4" t="s">
        <v>166</v>
      </c>
      <c r="S4">
        <f>COUNTIF(Table1_1[[#All],[Status ]],"PENDING")</f>
        <v>51</v>
      </c>
      <c r="U4" s="4" t="s">
        <v>37</v>
      </c>
      <c r="V4">
        <v>95790.500000000015</v>
      </c>
      <c r="X4" s="4" t="s">
        <v>37</v>
      </c>
      <c r="Y4" s="5">
        <v>4125.4999999999991</v>
      </c>
    </row>
    <row r="5" spans="1:25" x14ac:dyDescent="0.35">
      <c r="A5">
        <v>1005</v>
      </c>
      <c r="B5" s="2">
        <v>46101</v>
      </c>
      <c r="C5" t="s">
        <v>30</v>
      </c>
      <c r="D5" t="s">
        <v>147</v>
      </c>
      <c r="E5" t="s">
        <v>25</v>
      </c>
      <c r="F5" t="s">
        <v>32</v>
      </c>
      <c r="G5" t="s">
        <v>27</v>
      </c>
      <c r="H5">
        <v>5</v>
      </c>
      <c r="I5">
        <v>4721</v>
      </c>
      <c r="J5">
        <v>5</v>
      </c>
      <c r="K5" t="s">
        <v>145</v>
      </c>
      <c r="L5" t="s">
        <v>148</v>
      </c>
      <c r="M5" t="s">
        <v>143</v>
      </c>
      <c r="N5">
        <f>Table1_1[[#This Row],[Quantity]]*Table1_1[[#This Row],[Unit Price]]</f>
        <v>23605</v>
      </c>
      <c r="O5">
        <f>Table1_1[[#This Row],[TOTAL SALES]]*Table1_1[[#This Row],[Discount %]]/100</f>
        <v>1180.25</v>
      </c>
      <c r="P5">
        <f>Table1_1[[#This Row],[TOTAL SALES]]-Table1_1[[#This Row],[DIS AMOUNT]]</f>
        <v>22424.75</v>
      </c>
      <c r="R5" t="s">
        <v>158</v>
      </c>
      <c r="S5">
        <f>SUM(Table1_1[DIS AMOUNT])</f>
        <v>85254.700000000012</v>
      </c>
      <c r="U5" s="4" t="s">
        <v>54</v>
      </c>
      <c r="V5">
        <v>109287.00000000001</v>
      </c>
      <c r="X5" s="4" t="s">
        <v>54</v>
      </c>
      <c r="Y5" s="5">
        <v>8462</v>
      </c>
    </row>
    <row r="6" spans="1:25" x14ac:dyDescent="0.35">
      <c r="A6">
        <v>1006</v>
      </c>
      <c r="B6" s="2">
        <v>46091</v>
      </c>
      <c r="C6" t="s">
        <v>34</v>
      </c>
      <c r="D6" t="s">
        <v>149</v>
      </c>
      <c r="E6" t="s">
        <v>36</v>
      </c>
      <c r="F6" t="s">
        <v>37</v>
      </c>
      <c r="G6" t="s">
        <v>17</v>
      </c>
      <c r="H6">
        <v>5</v>
      </c>
      <c r="I6">
        <v>310</v>
      </c>
      <c r="J6">
        <v>10</v>
      </c>
      <c r="K6" t="s">
        <v>142</v>
      </c>
      <c r="L6" t="s">
        <v>148</v>
      </c>
      <c r="M6" t="s">
        <v>143</v>
      </c>
      <c r="N6">
        <f>Table1_1[[#This Row],[Quantity]]*Table1_1[[#This Row],[Unit Price]]</f>
        <v>1550</v>
      </c>
      <c r="O6">
        <f>Table1_1[[#This Row],[TOTAL SALES]]*Table1_1[[#This Row],[Discount %]]/100</f>
        <v>155</v>
      </c>
      <c r="P6">
        <f>Table1_1[[#This Row],[TOTAL SALES]]-Table1_1[[#This Row],[DIS AMOUNT]]</f>
        <v>1395</v>
      </c>
      <c r="R6" t="s">
        <v>163</v>
      </c>
      <c r="S6">
        <f>MAX(Table1_1[DIS AMOUNT])</f>
        <v>6216</v>
      </c>
      <c r="U6" s="4" t="s">
        <v>39</v>
      </c>
      <c r="V6">
        <v>89552</v>
      </c>
      <c r="X6" s="4" t="s">
        <v>39</v>
      </c>
      <c r="Y6" s="5">
        <v>8993</v>
      </c>
    </row>
    <row r="7" spans="1:25" x14ac:dyDescent="0.35">
      <c r="A7">
        <v>1007</v>
      </c>
      <c r="B7" s="2">
        <v>46170</v>
      </c>
      <c r="C7" t="s">
        <v>38</v>
      </c>
      <c r="D7" t="s">
        <v>144</v>
      </c>
      <c r="E7" t="s">
        <v>36</v>
      </c>
      <c r="F7" t="s">
        <v>39</v>
      </c>
      <c r="G7" t="s">
        <v>40</v>
      </c>
      <c r="H7">
        <v>4</v>
      </c>
      <c r="I7">
        <v>1365</v>
      </c>
      <c r="J7">
        <v>5</v>
      </c>
      <c r="K7" t="s">
        <v>145</v>
      </c>
      <c r="L7" t="s">
        <v>146</v>
      </c>
      <c r="M7" t="s">
        <v>150</v>
      </c>
      <c r="N7">
        <f>Table1_1[[#This Row],[Quantity]]*Table1_1[[#This Row],[Unit Price]]</f>
        <v>5460</v>
      </c>
      <c r="O7">
        <f>Table1_1[[#This Row],[TOTAL SALES]]*Table1_1[[#This Row],[Discount %]]/100</f>
        <v>273</v>
      </c>
      <c r="P7">
        <f>Table1_1[[#This Row],[TOTAL SALES]]-Table1_1[[#This Row],[DIS AMOUNT]]</f>
        <v>5187</v>
      </c>
      <c r="U7" s="4" t="s">
        <v>16</v>
      </c>
      <c r="V7">
        <v>265853.14999999997</v>
      </c>
      <c r="X7" s="4" t="s">
        <v>16</v>
      </c>
      <c r="Y7" s="5">
        <v>20249.849999999999</v>
      </c>
    </row>
    <row r="8" spans="1:25" x14ac:dyDescent="0.35">
      <c r="A8">
        <v>1008</v>
      </c>
      <c r="B8" s="2">
        <v>46194</v>
      </c>
      <c r="C8" t="s">
        <v>42</v>
      </c>
      <c r="D8" t="s">
        <v>151</v>
      </c>
      <c r="E8" t="s">
        <v>25</v>
      </c>
      <c r="F8" t="s">
        <v>26</v>
      </c>
      <c r="G8" t="s">
        <v>40</v>
      </c>
      <c r="H8">
        <v>4</v>
      </c>
      <c r="I8">
        <v>3367</v>
      </c>
      <c r="J8">
        <v>5</v>
      </c>
      <c r="K8" t="s">
        <v>142</v>
      </c>
      <c r="L8" t="s">
        <v>146</v>
      </c>
      <c r="M8" t="s">
        <v>143</v>
      </c>
      <c r="N8">
        <f>Table1_1[[#This Row],[Quantity]]*Table1_1[[#This Row],[Unit Price]]</f>
        <v>13468</v>
      </c>
      <c r="O8">
        <f>Table1_1[[#This Row],[TOTAL SALES]]*Table1_1[[#This Row],[Discount %]]/100</f>
        <v>673.4</v>
      </c>
      <c r="P8">
        <f>Table1_1[[#This Row],[TOTAL SALES]]-Table1_1[[#This Row],[DIS AMOUNT]]</f>
        <v>12794.6</v>
      </c>
      <c r="U8" s="4" t="s">
        <v>45</v>
      </c>
      <c r="V8">
        <v>209107.25</v>
      </c>
      <c r="X8" s="4" t="s">
        <v>45</v>
      </c>
      <c r="Y8" s="5">
        <v>14313.750000000002</v>
      </c>
    </row>
    <row r="9" spans="1:25" x14ac:dyDescent="0.35">
      <c r="A9">
        <v>1009</v>
      </c>
      <c r="B9" s="2">
        <v>46080</v>
      </c>
      <c r="C9" t="s">
        <v>44</v>
      </c>
      <c r="D9" t="s">
        <v>144</v>
      </c>
      <c r="E9" t="s">
        <v>15</v>
      </c>
      <c r="F9" t="s">
        <v>45</v>
      </c>
      <c r="G9" t="s">
        <v>46</v>
      </c>
      <c r="H9">
        <v>7</v>
      </c>
      <c r="I9">
        <v>635</v>
      </c>
      <c r="J9">
        <v>10</v>
      </c>
      <c r="K9" t="s">
        <v>145</v>
      </c>
      <c r="L9" t="s">
        <v>148</v>
      </c>
      <c r="M9" t="s">
        <v>143</v>
      </c>
      <c r="N9">
        <f>Table1_1[[#This Row],[Quantity]]*Table1_1[[#This Row],[Unit Price]]</f>
        <v>4445</v>
      </c>
      <c r="O9">
        <f>Table1_1[[#This Row],[TOTAL SALES]]*Table1_1[[#This Row],[Discount %]]/100</f>
        <v>444.5</v>
      </c>
      <c r="P9">
        <f>Table1_1[[#This Row],[TOTAL SALES]]-Table1_1[[#This Row],[DIS AMOUNT]]</f>
        <v>4000.5</v>
      </c>
      <c r="U9" s="4" t="s">
        <v>161</v>
      </c>
      <c r="V9">
        <v>1230339.3</v>
      </c>
      <c r="X9" s="4" t="s">
        <v>161</v>
      </c>
      <c r="Y9" s="5">
        <v>85254.7</v>
      </c>
    </row>
    <row r="10" spans="1:25" x14ac:dyDescent="0.35">
      <c r="A10">
        <v>1010</v>
      </c>
      <c r="B10" s="2">
        <v>46075</v>
      </c>
      <c r="C10" t="s">
        <v>47</v>
      </c>
      <c r="D10" t="s">
        <v>151</v>
      </c>
      <c r="E10" t="s">
        <v>15</v>
      </c>
      <c r="F10" t="s">
        <v>45</v>
      </c>
      <c r="G10" t="s">
        <v>40</v>
      </c>
      <c r="H10">
        <v>2</v>
      </c>
      <c r="I10">
        <v>931</v>
      </c>
      <c r="J10">
        <v>10</v>
      </c>
      <c r="K10" t="s">
        <v>145</v>
      </c>
      <c r="L10" t="s">
        <v>148</v>
      </c>
      <c r="M10" t="s">
        <v>152</v>
      </c>
      <c r="N10">
        <f>Table1_1[[#This Row],[Quantity]]*Table1_1[[#This Row],[Unit Price]]</f>
        <v>1862</v>
      </c>
      <c r="O10">
        <f>Table1_1[[#This Row],[TOTAL SALES]]*Table1_1[[#This Row],[Discount %]]/100</f>
        <v>186.2</v>
      </c>
      <c r="P10">
        <f>Table1_1[[#This Row],[TOTAL SALES]]-Table1_1[[#This Row],[DIS AMOUNT]]</f>
        <v>1675.8</v>
      </c>
    </row>
    <row r="11" spans="1:25" x14ac:dyDescent="0.35">
      <c r="A11">
        <v>1011</v>
      </c>
      <c r="B11" s="2">
        <v>46067</v>
      </c>
      <c r="C11" t="s">
        <v>49</v>
      </c>
      <c r="D11" t="s">
        <v>141</v>
      </c>
      <c r="E11" t="s">
        <v>15</v>
      </c>
      <c r="F11" t="s">
        <v>16</v>
      </c>
      <c r="G11" t="s">
        <v>40</v>
      </c>
      <c r="H11">
        <v>2</v>
      </c>
      <c r="I11">
        <v>1634</v>
      </c>
      <c r="J11">
        <v>15</v>
      </c>
      <c r="K11" t="s">
        <v>145</v>
      </c>
      <c r="L11" t="s">
        <v>146</v>
      </c>
      <c r="M11" t="s">
        <v>153</v>
      </c>
      <c r="N11">
        <f>Table1_1[[#This Row],[Quantity]]*Table1_1[[#This Row],[Unit Price]]</f>
        <v>3268</v>
      </c>
      <c r="O11">
        <f>Table1_1[[#This Row],[TOTAL SALES]]*Table1_1[[#This Row],[Discount %]]/100</f>
        <v>490.2</v>
      </c>
      <c r="P11">
        <f>Table1_1[[#This Row],[TOTAL SALES]]-Table1_1[[#This Row],[DIS AMOUNT]]</f>
        <v>2777.8</v>
      </c>
      <c r="U11" s="3" t="s">
        <v>160</v>
      </c>
      <c r="V11" t="s">
        <v>165</v>
      </c>
      <c r="X11" s="3" t="s">
        <v>160</v>
      </c>
      <c r="Y11" t="s">
        <v>169</v>
      </c>
    </row>
    <row r="12" spans="1:25" x14ac:dyDescent="0.35">
      <c r="A12">
        <v>1012</v>
      </c>
      <c r="B12" s="2">
        <v>46076</v>
      </c>
      <c r="C12" t="s">
        <v>50</v>
      </c>
      <c r="D12" t="s">
        <v>144</v>
      </c>
      <c r="E12" t="s">
        <v>25</v>
      </c>
      <c r="F12" t="s">
        <v>32</v>
      </c>
      <c r="G12" t="s">
        <v>46</v>
      </c>
      <c r="H12">
        <v>7</v>
      </c>
      <c r="I12">
        <v>4252</v>
      </c>
      <c r="J12">
        <v>15</v>
      </c>
      <c r="K12" t="s">
        <v>145</v>
      </c>
      <c r="L12" t="s">
        <v>19</v>
      </c>
      <c r="M12" t="s">
        <v>153</v>
      </c>
      <c r="N12">
        <f>Table1_1[[#This Row],[Quantity]]*Table1_1[[#This Row],[Unit Price]]</f>
        <v>29764</v>
      </c>
      <c r="O12">
        <f>Table1_1[[#This Row],[TOTAL SALES]]*Table1_1[[#This Row],[Discount %]]/100</f>
        <v>4464.6000000000004</v>
      </c>
      <c r="P12">
        <f>Table1_1[[#This Row],[TOTAL SALES]]-Table1_1[[#This Row],[DIS AMOUNT]]</f>
        <v>25299.4</v>
      </c>
      <c r="U12" s="4" t="s">
        <v>26</v>
      </c>
      <c r="V12">
        <v>300.05</v>
      </c>
      <c r="X12" s="4" t="s">
        <v>26</v>
      </c>
      <c r="Y12" s="5">
        <v>3762</v>
      </c>
    </row>
    <row r="13" spans="1:25" x14ac:dyDescent="0.35">
      <c r="A13">
        <v>1013</v>
      </c>
      <c r="B13" s="2">
        <v>46189</v>
      </c>
      <c r="C13" t="s">
        <v>51</v>
      </c>
      <c r="D13" t="s">
        <v>144</v>
      </c>
      <c r="E13" t="s">
        <v>15</v>
      </c>
      <c r="F13" t="s">
        <v>16</v>
      </c>
      <c r="G13" t="s">
        <v>17</v>
      </c>
      <c r="H13">
        <v>2</v>
      </c>
      <c r="I13">
        <v>2374</v>
      </c>
      <c r="J13">
        <v>10</v>
      </c>
      <c r="K13" t="s">
        <v>142</v>
      </c>
      <c r="L13" t="s">
        <v>148</v>
      </c>
      <c r="M13" t="s">
        <v>153</v>
      </c>
      <c r="N13">
        <f>Table1_1[[#This Row],[Quantity]]*Table1_1[[#This Row],[Unit Price]]</f>
        <v>4748</v>
      </c>
      <c r="O13">
        <f>Table1_1[[#This Row],[TOTAL SALES]]*Table1_1[[#This Row],[Discount %]]/100</f>
        <v>474.8</v>
      </c>
      <c r="P13">
        <f>Table1_1[[#This Row],[TOTAL SALES]]-Table1_1[[#This Row],[DIS AMOUNT]]</f>
        <v>4273.2</v>
      </c>
      <c r="U13" s="4" t="s">
        <v>32</v>
      </c>
      <c r="V13">
        <v>941</v>
      </c>
      <c r="X13" s="4" t="s">
        <v>32</v>
      </c>
      <c r="Y13" s="5">
        <v>4464.6000000000004</v>
      </c>
    </row>
    <row r="14" spans="1:25" x14ac:dyDescent="0.35">
      <c r="A14">
        <v>1014</v>
      </c>
      <c r="B14" s="2">
        <v>46193</v>
      </c>
      <c r="C14" t="s">
        <v>52</v>
      </c>
      <c r="D14" t="s">
        <v>151</v>
      </c>
      <c r="E14" t="s">
        <v>15</v>
      </c>
      <c r="F14" t="s">
        <v>16</v>
      </c>
      <c r="G14" t="s">
        <v>17</v>
      </c>
      <c r="H14">
        <v>5</v>
      </c>
      <c r="I14">
        <v>1612</v>
      </c>
      <c r="J14">
        <v>5</v>
      </c>
      <c r="K14" t="s">
        <v>145</v>
      </c>
      <c r="L14" t="s">
        <v>146</v>
      </c>
      <c r="M14" t="s">
        <v>150</v>
      </c>
      <c r="N14">
        <f>Table1_1[[#This Row],[Quantity]]*Table1_1[[#This Row],[Unit Price]]</f>
        <v>8060</v>
      </c>
      <c r="O14">
        <f>Table1_1[[#This Row],[TOTAL SALES]]*Table1_1[[#This Row],[Discount %]]/100</f>
        <v>403</v>
      </c>
      <c r="P14">
        <f>Table1_1[[#This Row],[TOTAL SALES]]-Table1_1[[#This Row],[DIS AMOUNT]]</f>
        <v>7657</v>
      </c>
      <c r="U14" s="4" t="s">
        <v>37</v>
      </c>
      <c r="V14">
        <v>566.1</v>
      </c>
      <c r="X14" s="4" t="s">
        <v>37</v>
      </c>
      <c r="Y14" s="5">
        <v>953.7</v>
      </c>
    </row>
    <row r="15" spans="1:25" x14ac:dyDescent="0.35">
      <c r="A15">
        <v>1015</v>
      </c>
      <c r="B15" s="2">
        <v>46182</v>
      </c>
      <c r="C15" t="s">
        <v>53</v>
      </c>
      <c r="D15" t="s">
        <v>144</v>
      </c>
      <c r="E15" t="s">
        <v>36</v>
      </c>
      <c r="F15" t="s">
        <v>54</v>
      </c>
      <c r="G15" t="s">
        <v>46</v>
      </c>
      <c r="H15">
        <v>10</v>
      </c>
      <c r="I15">
        <v>1044</v>
      </c>
      <c r="J15">
        <v>15</v>
      </c>
      <c r="K15" t="s">
        <v>142</v>
      </c>
      <c r="L15" t="s">
        <v>146</v>
      </c>
      <c r="M15" t="s">
        <v>143</v>
      </c>
      <c r="N15">
        <f>Table1_1[[#This Row],[Quantity]]*Table1_1[[#This Row],[Unit Price]]</f>
        <v>10440</v>
      </c>
      <c r="O15">
        <f>Table1_1[[#This Row],[TOTAL SALES]]*Table1_1[[#This Row],[Discount %]]/100</f>
        <v>1566</v>
      </c>
      <c r="P15">
        <f>Table1_1[[#This Row],[TOTAL SALES]]-Table1_1[[#This Row],[DIS AMOUNT]]</f>
        <v>8874</v>
      </c>
      <c r="U15" s="4" t="s">
        <v>54</v>
      </c>
      <c r="V15">
        <v>1761.3</v>
      </c>
      <c r="X15" s="4" t="s">
        <v>54</v>
      </c>
      <c r="Y15" s="5">
        <v>2738.7</v>
      </c>
    </row>
    <row r="16" spans="1:25" x14ac:dyDescent="0.35">
      <c r="A16">
        <v>1016</v>
      </c>
      <c r="B16" s="2">
        <v>46113</v>
      </c>
      <c r="C16" t="s">
        <v>55</v>
      </c>
      <c r="D16" t="s">
        <v>151</v>
      </c>
      <c r="E16" t="s">
        <v>36</v>
      </c>
      <c r="F16" t="s">
        <v>54</v>
      </c>
      <c r="G16" t="s">
        <v>46</v>
      </c>
      <c r="H16">
        <v>9</v>
      </c>
      <c r="I16">
        <v>3043</v>
      </c>
      <c r="J16">
        <v>10</v>
      </c>
      <c r="K16" t="s">
        <v>145</v>
      </c>
      <c r="L16" t="s">
        <v>148</v>
      </c>
      <c r="M16" t="s">
        <v>153</v>
      </c>
      <c r="N16">
        <f>Table1_1[[#This Row],[Quantity]]*Table1_1[[#This Row],[Unit Price]]</f>
        <v>27387</v>
      </c>
      <c r="O16">
        <f>Table1_1[[#This Row],[TOTAL SALES]]*Table1_1[[#This Row],[Discount %]]/100</f>
        <v>2738.7</v>
      </c>
      <c r="P16">
        <f>Table1_1[[#This Row],[TOTAL SALES]]-Table1_1[[#This Row],[DIS AMOUNT]]</f>
        <v>24648.3</v>
      </c>
      <c r="U16" s="4" t="s">
        <v>39</v>
      </c>
      <c r="V16">
        <v>1513</v>
      </c>
      <c r="X16" s="4" t="s">
        <v>39</v>
      </c>
      <c r="Y16" s="5">
        <v>4275.6000000000004</v>
      </c>
    </row>
    <row r="17" spans="1:25" x14ac:dyDescent="0.35">
      <c r="A17">
        <v>1017</v>
      </c>
      <c r="B17" s="2">
        <v>46197</v>
      </c>
      <c r="C17" t="s">
        <v>56</v>
      </c>
      <c r="D17" t="s">
        <v>141</v>
      </c>
      <c r="E17" t="s">
        <v>15</v>
      </c>
      <c r="F17" t="s">
        <v>16</v>
      </c>
      <c r="G17" t="s">
        <v>17</v>
      </c>
      <c r="H17">
        <v>1</v>
      </c>
      <c r="I17">
        <v>319</v>
      </c>
      <c r="J17">
        <v>5</v>
      </c>
      <c r="K17" t="s">
        <v>145</v>
      </c>
      <c r="L17" t="s">
        <v>148</v>
      </c>
      <c r="M17" t="s">
        <v>150</v>
      </c>
      <c r="N17">
        <f>Table1_1[[#This Row],[Quantity]]*Table1_1[[#This Row],[Unit Price]]</f>
        <v>319</v>
      </c>
      <c r="O17">
        <f>Table1_1[[#This Row],[TOTAL SALES]]*Table1_1[[#This Row],[Discount %]]/100</f>
        <v>15.95</v>
      </c>
      <c r="P17">
        <f>Table1_1[[#This Row],[TOTAL SALES]]-Table1_1[[#This Row],[DIS AMOUNT]]</f>
        <v>303.05</v>
      </c>
      <c r="U17" s="4" t="s">
        <v>16</v>
      </c>
      <c r="V17">
        <v>303.05</v>
      </c>
      <c r="X17" s="4" t="s">
        <v>16</v>
      </c>
      <c r="Y17" s="5">
        <v>4214.7</v>
      </c>
    </row>
    <row r="18" spans="1:25" x14ac:dyDescent="0.35">
      <c r="A18">
        <v>1018</v>
      </c>
      <c r="B18" s="2">
        <v>46063</v>
      </c>
      <c r="C18" t="s">
        <v>57</v>
      </c>
      <c r="D18" t="s">
        <v>141</v>
      </c>
      <c r="E18" t="s">
        <v>15</v>
      </c>
      <c r="F18" t="s">
        <v>16</v>
      </c>
      <c r="G18" t="s">
        <v>46</v>
      </c>
      <c r="H18">
        <v>8</v>
      </c>
      <c r="I18">
        <v>4177</v>
      </c>
      <c r="J18">
        <v>0</v>
      </c>
      <c r="K18" t="s">
        <v>142</v>
      </c>
      <c r="L18" t="s">
        <v>19</v>
      </c>
      <c r="M18" t="s">
        <v>150</v>
      </c>
      <c r="N18">
        <f>Table1_1[[#This Row],[Quantity]]*Table1_1[[#This Row],[Unit Price]]</f>
        <v>33416</v>
      </c>
      <c r="O18">
        <f>Table1_1[[#This Row],[TOTAL SALES]]*Table1_1[[#This Row],[Discount %]]/100</f>
        <v>0</v>
      </c>
      <c r="P18">
        <f>Table1_1[[#This Row],[TOTAL SALES]]-Table1_1[[#This Row],[DIS AMOUNT]]</f>
        <v>33416</v>
      </c>
      <c r="U18" s="4" t="s">
        <v>45</v>
      </c>
      <c r="V18">
        <v>1037.4000000000001</v>
      </c>
      <c r="X18" s="4" t="s">
        <v>45</v>
      </c>
      <c r="Y18" s="5">
        <v>6216</v>
      </c>
    </row>
    <row r="19" spans="1:25" x14ac:dyDescent="0.35">
      <c r="A19">
        <v>1019</v>
      </c>
      <c r="B19" s="2">
        <v>46099</v>
      </c>
      <c r="C19" t="s">
        <v>58</v>
      </c>
      <c r="D19" t="s">
        <v>144</v>
      </c>
      <c r="E19" t="s">
        <v>25</v>
      </c>
      <c r="F19" t="s">
        <v>26</v>
      </c>
      <c r="G19" t="s">
        <v>46</v>
      </c>
      <c r="H19">
        <v>4</v>
      </c>
      <c r="I19">
        <v>3996</v>
      </c>
      <c r="J19">
        <v>5</v>
      </c>
      <c r="K19" t="s">
        <v>145</v>
      </c>
      <c r="L19" t="s">
        <v>146</v>
      </c>
      <c r="M19" t="s">
        <v>150</v>
      </c>
      <c r="N19">
        <f>Table1_1[[#This Row],[Quantity]]*Table1_1[[#This Row],[Unit Price]]</f>
        <v>15984</v>
      </c>
      <c r="O19">
        <f>Table1_1[[#This Row],[TOTAL SALES]]*Table1_1[[#This Row],[Discount %]]/100</f>
        <v>799.2</v>
      </c>
      <c r="P19">
        <f>Table1_1[[#This Row],[TOTAL SALES]]-Table1_1[[#This Row],[DIS AMOUNT]]</f>
        <v>15184.8</v>
      </c>
      <c r="U19" s="4" t="s">
        <v>161</v>
      </c>
      <c r="V19">
        <v>300.05</v>
      </c>
      <c r="X19" s="4" t="s">
        <v>161</v>
      </c>
      <c r="Y19" s="5">
        <v>6216</v>
      </c>
    </row>
    <row r="20" spans="1:25" x14ac:dyDescent="0.35">
      <c r="A20">
        <v>1020</v>
      </c>
      <c r="B20" s="2">
        <v>46126</v>
      </c>
      <c r="C20" t="s">
        <v>59</v>
      </c>
      <c r="D20" t="s">
        <v>141</v>
      </c>
      <c r="E20" t="s">
        <v>36</v>
      </c>
      <c r="F20" t="s">
        <v>54</v>
      </c>
      <c r="G20" t="s">
        <v>17</v>
      </c>
      <c r="H20">
        <v>5</v>
      </c>
      <c r="I20">
        <v>1889</v>
      </c>
      <c r="J20">
        <v>10</v>
      </c>
      <c r="K20" t="s">
        <v>142</v>
      </c>
      <c r="L20" t="s">
        <v>148</v>
      </c>
      <c r="M20" t="s">
        <v>152</v>
      </c>
      <c r="N20">
        <f>Table1_1[[#This Row],[Quantity]]*Table1_1[[#This Row],[Unit Price]]</f>
        <v>9445</v>
      </c>
      <c r="O20">
        <f>Table1_1[[#This Row],[TOTAL SALES]]*Table1_1[[#This Row],[Discount %]]/100</f>
        <v>944.5</v>
      </c>
      <c r="P20">
        <f>Table1_1[[#This Row],[TOTAL SALES]]-Table1_1[[#This Row],[DIS AMOUNT]]</f>
        <v>8500.5</v>
      </c>
    </row>
    <row r="21" spans="1:25" x14ac:dyDescent="0.35">
      <c r="A21">
        <v>1021</v>
      </c>
      <c r="B21" s="2">
        <v>46165</v>
      </c>
      <c r="C21" t="s">
        <v>60</v>
      </c>
      <c r="D21" t="s">
        <v>147</v>
      </c>
      <c r="E21" t="s">
        <v>15</v>
      </c>
      <c r="F21" t="s">
        <v>45</v>
      </c>
      <c r="G21" t="s">
        <v>27</v>
      </c>
      <c r="H21">
        <v>10</v>
      </c>
      <c r="I21">
        <v>1883</v>
      </c>
      <c r="J21">
        <v>0</v>
      </c>
      <c r="K21" t="s">
        <v>142</v>
      </c>
      <c r="L21" t="s">
        <v>148</v>
      </c>
      <c r="M21" t="s">
        <v>150</v>
      </c>
      <c r="N21">
        <f>Table1_1[[#This Row],[Quantity]]*Table1_1[[#This Row],[Unit Price]]</f>
        <v>18830</v>
      </c>
      <c r="O21">
        <f>Table1_1[[#This Row],[TOTAL SALES]]*Table1_1[[#This Row],[Discount %]]/100</f>
        <v>0</v>
      </c>
      <c r="P21">
        <f>Table1_1[[#This Row],[TOTAL SALES]]-Table1_1[[#This Row],[DIS AMOUNT]]</f>
        <v>18830</v>
      </c>
      <c r="U21" s="3" t="s">
        <v>160</v>
      </c>
      <c r="V21" t="s">
        <v>167</v>
      </c>
    </row>
    <row r="22" spans="1:25" x14ac:dyDescent="0.35">
      <c r="A22">
        <v>1022</v>
      </c>
      <c r="B22" s="2">
        <v>46081</v>
      </c>
      <c r="C22" t="s">
        <v>61</v>
      </c>
      <c r="D22" t="s">
        <v>141</v>
      </c>
      <c r="E22" t="s">
        <v>25</v>
      </c>
      <c r="F22" t="s">
        <v>26</v>
      </c>
      <c r="G22" t="s">
        <v>27</v>
      </c>
      <c r="H22">
        <v>3</v>
      </c>
      <c r="I22">
        <v>3962</v>
      </c>
      <c r="J22">
        <v>5</v>
      </c>
      <c r="K22" t="s">
        <v>142</v>
      </c>
      <c r="L22" t="s">
        <v>148</v>
      </c>
      <c r="M22" t="s">
        <v>150</v>
      </c>
      <c r="N22">
        <f>Table1_1[[#This Row],[Quantity]]*Table1_1[[#This Row],[Unit Price]]</f>
        <v>11886</v>
      </c>
      <c r="O22">
        <f>Table1_1[[#This Row],[TOTAL SALES]]*Table1_1[[#This Row],[Discount %]]/100</f>
        <v>594.29999999999995</v>
      </c>
      <c r="P22">
        <f>Table1_1[[#This Row],[TOTAL SALES]]-Table1_1[[#This Row],[DIS AMOUNT]]</f>
        <v>11291.7</v>
      </c>
      <c r="U22" s="4" t="s">
        <v>145</v>
      </c>
      <c r="V22" s="5">
        <v>49</v>
      </c>
    </row>
    <row r="23" spans="1:25" x14ac:dyDescent="0.35">
      <c r="A23">
        <v>1023</v>
      </c>
      <c r="B23" s="2">
        <v>46146</v>
      </c>
      <c r="C23" t="s">
        <v>62</v>
      </c>
      <c r="D23" t="s">
        <v>141</v>
      </c>
      <c r="E23" t="s">
        <v>15</v>
      </c>
      <c r="F23" t="s">
        <v>45</v>
      </c>
      <c r="G23" t="s">
        <v>27</v>
      </c>
      <c r="H23">
        <v>2</v>
      </c>
      <c r="I23">
        <v>1153</v>
      </c>
      <c r="J23">
        <v>0</v>
      </c>
      <c r="K23" t="s">
        <v>142</v>
      </c>
      <c r="L23" t="s">
        <v>19</v>
      </c>
      <c r="M23" t="s">
        <v>152</v>
      </c>
      <c r="N23">
        <f>Table1_1[[#This Row],[Quantity]]*Table1_1[[#This Row],[Unit Price]]</f>
        <v>2306</v>
      </c>
      <c r="O23">
        <f>Table1_1[[#This Row],[TOTAL SALES]]*Table1_1[[#This Row],[Discount %]]/100</f>
        <v>0</v>
      </c>
      <c r="P23">
        <f>Table1_1[[#This Row],[TOTAL SALES]]-Table1_1[[#This Row],[DIS AMOUNT]]</f>
        <v>2306</v>
      </c>
      <c r="U23" s="4" t="s">
        <v>142</v>
      </c>
      <c r="V23" s="5">
        <v>51</v>
      </c>
    </row>
    <row r="24" spans="1:25" x14ac:dyDescent="0.35">
      <c r="A24">
        <v>1024</v>
      </c>
      <c r="B24" s="2">
        <v>46075</v>
      </c>
      <c r="C24" t="s">
        <v>63</v>
      </c>
      <c r="D24" t="s">
        <v>144</v>
      </c>
      <c r="E24" t="s">
        <v>25</v>
      </c>
      <c r="F24" t="s">
        <v>26</v>
      </c>
      <c r="G24" t="s">
        <v>46</v>
      </c>
      <c r="H24">
        <v>6</v>
      </c>
      <c r="I24">
        <v>2809</v>
      </c>
      <c r="J24">
        <v>5</v>
      </c>
      <c r="K24" t="s">
        <v>145</v>
      </c>
      <c r="L24" t="s">
        <v>19</v>
      </c>
      <c r="M24" t="s">
        <v>143</v>
      </c>
      <c r="N24">
        <f>Table1_1[[#This Row],[Quantity]]*Table1_1[[#This Row],[Unit Price]]</f>
        <v>16854</v>
      </c>
      <c r="O24">
        <f>Table1_1[[#This Row],[TOTAL SALES]]*Table1_1[[#This Row],[Discount %]]/100</f>
        <v>842.7</v>
      </c>
      <c r="P24">
        <f>Table1_1[[#This Row],[TOTAL SALES]]-Table1_1[[#This Row],[DIS AMOUNT]]</f>
        <v>16011.3</v>
      </c>
      <c r="U24" s="4" t="s">
        <v>161</v>
      </c>
      <c r="V24" s="5">
        <v>100</v>
      </c>
    </row>
    <row r="25" spans="1:25" x14ac:dyDescent="0.35">
      <c r="A25">
        <v>1025</v>
      </c>
      <c r="B25" s="2">
        <v>46129</v>
      </c>
      <c r="C25" t="s">
        <v>64</v>
      </c>
      <c r="D25" t="s">
        <v>144</v>
      </c>
      <c r="E25" t="s">
        <v>36</v>
      </c>
      <c r="F25" t="s">
        <v>37</v>
      </c>
      <c r="G25" t="s">
        <v>40</v>
      </c>
      <c r="H25">
        <v>4</v>
      </c>
      <c r="I25">
        <v>2307</v>
      </c>
      <c r="J25">
        <v>10</v>
      </c>
      <c r="K25" t="s">
        <v>142</v>
      </c>
      <c r="L25" t="s">
        <v>19</v>
      </c>
      <c r="M25" t="s">
        <v>150</v>
      </c>
      <c r="N25">
        <f>Table1_1[[#This Row],[Quantity]]*Table1_1[[#This Row],[Unit Price]]</f>
        <v>9228</v>
      </c>
      <c r="O25">
        <f>Table1_1[[#This Row],[TOTAL SALES]]*Table1_1[[#This Row],[Discount %]]/100</f>
        <v>922.8</v>
      </c>
      <c r="P25">
        <f>Table1_1[[#This Row],[TOTAL SALES]]-Table1_1[[#This Row],[DIS AMOUNT]]</f>
        <v>8305.2000000000007</v>
      </c>
    </row>
    <row r="26" spans="1:25" x14ac:dyDescent="0.35">
      <c r="A26">
        <v>1026</v>
      </c>
      <c r="B26" s="2">
        <v>46030</v>
      </c>
      <c r="C26" t="s">
        <v>65</v>
      </c>
      <c r="D26" t="s">
        <v>144</v>
      </c>
      <c r="E26" t="s">
        <v>25</v>
      </c>
      <c r="F26" t="s">
        <v>32</v>
      </c>
      <c r="G26" t="s">
        <v>17</v>
      </c>
      <c r="H26">
        <v>2</v>
      </c>
      <c r="I26">
        <v>1874</v>
      </c>
      <c r="J26">
        <v>0</v>
      </c>
      <c r="K26" t="s">
        <v>142</v>
      </c>
      <c r="L26" t="s">
        <v>146</v>
      </c>
      <c r="M26" t="s">
        <v>153</v>
      </c>
      <c r="N26">
        <f>Table1_1[[#This Row],[Quantity]]*Table1_1[[#This Row],[Unit Price]]</f>
        <v>3748</v>
      </c>
      <c r="O26">
        <f>Table1_1[[#This Row],[TOTAL SALES]]*Table1_1[[#This Row],[Discount %]]/100</f>
        <v>0</v>
      </c>
      <c r="P26">
        <f>Table1_1[[#This Row],[TOTAL SALES]]-Table1_1[[#This Row],[DIS AMOUNT]]</f>
        <v>3748</v>
      </c>
    </row>
    <row r="27" spans="1:25" x14ac:dyDescent="0.35">
      <c r="A27">
        <v>1027</v>
      </c>
      <c r="B27" s="2">
        <v>46075</v>
      </c>
      <c r="C27" t="s">
        <v>66</v>
      </c>
      <c r="D27" t="s">
        <v>149</v>
      </c>
      <c r="E27" t="s">
        <v>15</v>
      </c>
      <c r="F27" t="s">
        <v>16</v>
      </c>
      <c r="G27" t="s">
        <v>17</v>
      </c>
      <c r="H27">
        <v>9</v>
      </c>
      <c r="I27">
        <v>2591</v>
      </c>
      <c r="J27">
        <v>10</v>
      </c>
      <c r="K27" t="s">
        <v>142</v>
      </c>
      <c r="L27" t="s">
        <v>148</v>
      </c>
      <c r="M27" t="s">
        <v>152</v>
      </c>
      <c r="N27">
        <f>Table1_1[[#This Row],[Quantity]]*Table1_1[[#This Row],[Unit Price]]</f>
        <v>23319</v>
      </c>
      <c r="O27">
        <f>Table1_1[[#This Row],[TOTAL SALES]]*Table1_1[[#This Row],[Discount %]]/100</f>
        <v>2331.9</v>
      </c>
      <c r="P27">
        <f>Table1_1[[#This Row],[TOTAL SALES]]-Table1_1[[#This Row],[DIS AMOUNT]]</f>
        <v>20987.1</v>
      </c>
    </row>
    <row r="28" spans="1:25" x14ac:dyDescent="0.35">
      <c r="A28">
        <v>1028</v>
      </c>
      <c r="B28" s="2">
        <v>46153</v>
      </c>
      <c r="C28" t="s">
        <v>67</v>
      </c>
      <c r="D28" t="s">
        <v>151</v>
      </c>
      <c r="E28" t="s">
        <v>36</v>
      </c>
      <c r="F28" t="s">
        <v>54</v>
      </c>
      <c r="G28" t="s">
        <v>40</v>
      </c>
      <c r="H28">
        <v>10</v>
      </c>
      <c r="I28">
        <v>2973</v>
      </c>
      <c r="J28">
        <v>5</v>
      </c>
      <c r="K28" t="s">
        <v>142</v>
      </c>
      <c r="L28" t="s">
        <v>146</v>
      </c>
      <c r="M28" t="s">
        <v>152</v>
      </c>
      <c r="N28">
        <f>Table1_1[[#This Row],[Quantity]]*Table1_1[[#This Row],[Unit Price]]</f>
        <v>29730</v>
      </c>
      <c r="O28">
        <f>Table1_1[[#This Row],[TOTAL SALES]]*Table1_1[[#This Row],[Discount %]]/100</f>
        <v>1486.5</v>
      </c>
      <c r="P28">
        <f>Table1_1[[#This Row],[TOTAL SALES]]-Table1_1[[#This Row],[DIS AMOUNT]]</f>
        <v>28243.5</v>
      </c>
    </row>
    <row r="29" spans="1:25" x14ac:dyDescent="0.35">
      <c r="A29">
        <v>1029</v>
      </c>
      <c r="B29" s="2">
        <v>46122</v>
      </c>
      <c r="C29" t="s">
        <v>68</v>
      </c>
      <c r="D29" t="s">
        <v>144</v>
      </c>
      <c r="E29" t="s">
        <v>15</v>
      </c>
      <c r="F29" t="s">
        <v>16</v>
      </c>
      <c r="G29" t="s">
        <v>40</v>
      </c>
      <c r="H29">
        <v>1</v>
      </c>
      <c r="I29">
        <v>1713</v>
      </c>
      <c r="J29">
        <v>0</v>
      </c>
      <c r="K29" t="s">
        <v>145</v>
      </c>
      <c r="L29" t="s">
        <v>146</v>
      </c>
      <c r="M29" t="s">
        <v>143</v>
      </c>
      <c r="N29">
        <f>Table1_1[[#This Row],[Quantity]]*Table1_1[[#This Row],[Unit Price]]</f>
        <v>1713</v>
      </c>
      <c r="O29">
        <f>Table1_1[[#This Row],[TOTAL SALES]]*Table1_1[[#This Row],[Discount %]]/100</f>
        <v>0</v>
      </c>
      <c r="P29">
        <f>Table1_1[[#This Row],[TOTAL SALES]]-Table1_1[[#This Row],[DIS AMOUNT]]</f>
        <v>1713</v>
      </c>
    </row>
    <row r="30" spans="1:25" x14ac:dyDescent="0.35">
      <c r="A30">
        <v>1030</v>
      </c>
      <c r="B30" s="2">
        <v>46163</v>
      </c>
      <c r="C30" t="s">
        <v>69</v>
      </c>
      <c r="D30" t="s">
        <v>144</v>
      </c>
      <c r="E30" t="s">
        <v>25</v>
      </c>
      <c r="F30" t="s">
        <v>32</v>
      </c>
      <c r="G30" t="s">
        <v>46</v>
      </c>
      <c r="H30">
        <v>2</v>
      </c>
      <c r="I30">
        <v>4916</v>
      </c>
      <c r="J30">
        <v>5</v>
      </c>
      <c r="K30" t="s">
        <v>145</v>
      </c>
      <c r="L30" t="s">
        <v>19</v>
      </c>
      <c r="M30" t="s">
        <v>152</v>
      </c>
      <c r="N30">
        <f>Table1_1[[#This Row],[Quantity]]*Table1_1[[#This Row],[Unit Price]]</f>
        <v>9832</v>
      </c>
      <c r="O30">
        <f>Table1_1[[#This Row],[TOTAL SALES]]*Table1_1[[#This Row],[Discount %]]/100</f>
        <v>491.6</v>
      </c>
      <c r="P30">
        <f>Table1_1[[#This Row],[TOTAL SALES]]-Table1_1[[#This Row],[DIS AMOUNT]]</f>
        <v>9340.4</v>
      </c>
    </row>
    <row r="31" spans="1:25" x14ac:dyDescent="0.35">
      <c r="A31">
        <v>1031</v>
      </c>
      <c r="B31" s="2">
        <v>46061</v>
      </c>
      <c r="C31" t="s">
        <v>70</v>
      </c>
      <c r="D31" t="s">
        <v>147</v>
      </c>
      <c r="E31" t="s">
        <v>25</v>
      </c>
      <c r="F31" t="s">
        <v>32</v>
      </c>
      <c r="G31" t="s">
        <v>46</v>
      </c>
      <c r="H31">
        <v>7</v>
      </c>
      <c r="I31">
        <v>2683</v>
      </c>
      <c r="J31">
        <v>10</v>
      </c>
      <c r="K31" t="s">
        <v>142</v>
      </c>
      <c r="L31" t="s">
        <v>19</v>
      </c>
      <c r="M31" t="s">
        <v>153</v>
      </c>
      <c r="N31">
        <f>Table1_1[[#This Row],[Quantity]]*Table1_1[[#This Row],[Unit Price]]</f>
        <v>18781</v>
      </c>
      <c r="O31">
        <f>Table1_1[[#This Row],[TOTAL SALES]]*Table1_1[[#This Row],[Discount %]]/100</f>
        <v>1878.1</v>
      </c>
      <c r="P31">
        <f>Table1_1[[#This Row],[TOTAL SALES]]-Table1_1[[#This Row],[DIS AMOUNT]]</f>
        <v>16902.900000000001</v>
      </c>
    </row>
    <row r="32" spans="1:25" x14ac:dyDescent="0.35">
      <c r="A32">
        <v>1032</v>
      </c>
      <c r="B32" s="2">
        <v>46122</v>
      </c>
      <c r="C32" t="s">
        <v>71</v>
      </c>
      <c r="D32" t="s">
        <v>149</v>
      </c>
      <c r="E32" t="s">
        <v>15</v>
      </c>
      <c r="F32" t="s">
        <v>45</v>
      </c>
      <c r="G32" t="s">
        <v>40</v>
      </c>
      <c r="H32">
        <v>10</v>
      </c>
      <c r="I32">
        <v>4144</v>
      </c>
      <c r="J32">
        <v>15</v>
      </c>
      <c r="K32" t="s">
        <v>142</v>
      </c>
      <c r="L32" t="s">
        <v>148</v>
      </c>
      <c r="M32" t="s">
        <v>150</v>
      </c>
      <c r="N32">
        <f>Table1_1[[#This Row],[Quantity]]*Table1_1[[#This Row],[Unit Price]]</f>
        <v>41440</v>
      </c>
      <c r="O32">
        <f>Table1_1[[#This Row],[TOTAL SALES]]*Table1_1[[#This Row],[Discount %]]/100</f>
        <v>6216</v>
      </c>
      <c r="P32">
        <f>Table1_1[[#This Row],[TOTAL SALES]]-Table1_1[[#This Row],[DIS AMOUNT]]</f>
        <v>35224</v>
      </c>
    </row>
    <row r="33" spans="1:16" x14ac:dyDescent="0.35">
      <c r="A33">
        <v>1033</v>
      </c>
      <c r="B33" s="2">
        <v>46133</v>
      </c>
      <c r="C33" t="s">
        <v>72</v>
      </c>
      <c r="D33" t="s">
        <v>149</v>
      </c>
      <c r="E33" t="s">
        <v>36</v>
      </c>
      <c r="F33" t="s">
        <v>39</v>
      </c>
      <c r="G33" t="s">
        <v>27</v>
      </c>
      <c r="H33">
        <v>7</v>
      </c>
      <c r="I33">
        <v>4072</v>
      </c>
      <c r="J33">
        <v>15</v>
      </c>
      <c r="K33" t="s">
        <v>142</v>
      </c>
      <c r="L33" t="s">
        <v>19</v>
      </c>
      <c r="M33" t="s">
        <v>153</v>
      </c>
      <c r="N33">
        <f>Table1_1[[#This Row],[Quantity]]*Table1_1[[#This Row],[Unit Price]]</f>
        <v>28504</v>
      </c>
      <c r="O33">
        <f>Table1_1[[#This Row],[TOTAL SALES]]*Table1_1[[#This Row],[Discount %]]/100</f>
        <v>4275.6000000000004</v>
      </c>
      <c r="P33">
        <f>Table1_1[[#This Row],[TOTAL SALES]]-Table1_1[[#This Row],[DIS AMOUNT]]</f>
        <v>24228.400000000001</v>
      </c>
    </row>
    <row r="34" spans="1:16" x14ac:dyDescent="0.35">
      <c r="A34">
        <v>1034</v>
      </c>
      <c r="B34" s="2">
        <v>46057</v>
      </c>
      <c r="C34" t="s">
        <v>73</v>
      </c>
      <c r="D34" t="s">
        <v>144</v>
      </c>
      <c r="E34" t="s">
        <v>25</v>
      </c>
      <c r="F34" t="s">
        <v>32</v>
      </c>
      <c r="G34" t="s">
        <v>46</v>
      </c>
      <c r="H34">
        <v>9</v>
      </c>
      <c r="I34">
        <v>2346</v>
      </c>
      <c r="J34">
        <v>15</v>
      </c>
      <c r="K34" t="s">
        <v>145</v>
      </c>
      <c r="L34" t="s">
        <v>146</v>
      </c>
      <c r="M34" t="s">
        <v>143</v>
      </c>
      <c r="N34">
        <f>Table1_1[[#This Row],[Quantity]]*Table1_1[[#This Row],[Unit Price]]</f>
        <v>21114</v>
      </c>
      <c r="O34">
        <f>Table1_1[[#This Row],[TOTAL SALES]]*Table1_1[[#This Row],[Discount %]]/100</f>
        <v>3167.1</v>
      </c>
      <c r="P34">
        <f>Table1_1[[#This Row],[TOTAL SALES]]-Table1_1[[#This Row],[DIS AMOUNT]]</f>
        <v>17946.900000000001</v>
      </c>
    </row>
    <row r="35" spans="1:16" x14ac:dyDescent="0.35">
      <c r="A35">
        <v>1035</v>
      </c>
      <c r="B35" s="2">
        <v>46045</v>
      </c>
      <c r="C35" t="s">
        <v>74</v>
      </c>
      <c r="D35" t="s">
        <v>149</v>
      </c>
      <c r="E35" t="s">
        <v>15</v>
      </c>
      <c r="F35" t="s">
        <v>45</v>
      </c>
      <c r="G35" t="s">
        <v>46</v>
      </c>
      <c r="H35">
        <v>2</v>
      </c>
      <c r="I35">
        <v>546</v>
      </c>
      <c r="J35">
        <v>5</v>
      </c>
      <c r="K35" t="s">
        <v>142</v>
      </c>
      <c r="L35" t="s">
        <v>146</v>
      </c>
      <c r="M35" t="s">
        <v>143</v>
      </c>
      <c r="N35">
        <f>Table1_1[[#This Row],[Quantity]]*Table1_1[[#This Row],[Unit Price]]</f>
        <v>1092</v>
      </c>
      <c r="O35">
        <f>Table1_1[[#This Row],[TOTAL SALES]]*Table1_1[[#This Row],[Discount %]]/100</f>
        <v>54.6</v>
      </c>
      <c r="P35">
        <f>Table1_1[[#This Row],[TOTAL SALES]]-Table1_1[[#This Row],[DIS AMOUNT]]</f>
        <v>1037.4000000000001</v>
      </c>
    </row>
    <row r="36" spans="1:16" x14ac:dyDescent="0.35">
      <c r="A36">
        <v>1036</v>
      </c>
      <c r="B36" s="2">
        <v>46113</v>
      </c>
      <c r="C36" t="s">
        <v>75</v>
      </c>
      <c r="D36" t="s">
        <v>147</v>
      </c>
      <c r="E36" t="s">
        <v>36</v>
      </c>
      <c r="F36" t="s">
        <v>54</v>
      </c>
      <c r="G36" t="s">
        <v>40</v>
      </c>
      <c r="H36">
        <v>10</v>
      </c>
      <c r="I36">
        <v>705</v>
      </c>
      <c r="J36">
        <v>0</v>
      </c>
      <c r="K36" t="s">
        <v>145</v>
      </c>
      <c r="L36" t="s">
        <v>146</v>
      </c>
      <c r="M36" t="s">
        <v>150</v>
      </c>
      <c r="N36">
        <f>Table1_1[[#This Row],[Quantity]]*Table1_1[[#This Row],[Unit Price]]</f>
        <v>7050</v>
      </c>
      <c r="O36">
        <f>Table1_1[[#This Row],[TOTAL SALES]]*Table1_1[[#This Row],[Discount %]]/100</f>
        <v>0</v>
      </c>
      <c r="P36">
        <f>Table1_1[[#This Row],[TOTAL SALES]]-Table1_1[[#This Row],[DIS AMOUNT]]</f>
        <v>7050</v>
      </c>
    </row>
    <row r="37" spans="1:16" x14ac:dyDescent="0.35">
      <c r="A37">
        <v>1037</v>
      </c>
      <c r="B37" s="2">
        <v>46141</v>
      </c>
      <c r="C37" t="s">
        <v>76</v>
      </c>
      <c r="D37" t="s">
        <v>147</v>
      </c>
      <c r="E37" t="s">
        <v>15</v>
      </c>
      <c r="F37" t="s">
        <v>16</v>
      </c>
      <c r="G37" t="s">
        <v>17</v>
      </c>
      <c r="H37">
        <v>4</v>
      </c>
      <c r="I37">
        <v>2514</v>
      </c>
      <c r="J37">
        <v>0</v>
      </c>
      <c r="K37" t="s">
        <v>145</v>
      </c>
      <c r="L37" t="s">
        <v>19</v>
      </c>
      <c r="M37" t="s">
        <v>152</v>
      </c>
      <c r="N37">
        <f>Table1_1[[#This Row],[Quantity]]*Table1_1[[#This Row],[Unit Price]]</f>
        <v>10056</v>
      </c>
      <c r="O37">
        <f>Table1_1[[#This Row],[TOTAL SALES]]*Table1_1[[#This Row],[Discount %]]/100</f>
        <v>0</v>
      </c>
      <c r="P37">
        <f>Table1_1[[#This Row],[TOTAL SALES]]-Table1_1[[#This Row],[DIS AMOUNT]]</f>
        <v>10056</v>
      </c>
    </row>
    <row r="38" spans="1:16" x14ac:dyDescent="0.35">
      <c r="A38">
        <v>1038</v>
      </c>
      <c r="B38" s="2">
        <v>46182</v>
      </c>
      <c r="C38" t="s">
        <v>77</v>
      </c>
      <c r="D38" t="s">
        <v>151</v>
      </c>
      <c r="E38" t="s">
        <v>36</v>
      </c>
      <c r="F38" t="s">
        <v>54</v>
      </c>
      <c r="G38" t="s">
        <v>27</v>
      </c>
      <c r="H38">
        <v>6</v>
      </c>
      <c r="I38">
        <v>1188</v>
      </c>
      <c r="J38">
        <v>0</v>
      </c>
      <c r="K38" t="s">
        <v>145</v>
      </c>
      <c r="L38" t="s">
        <v>148</v>
      </c>
      <c r="M38" t="s">
        <v>150</v>
      </c>
      <c r="N38">
        <f>Table1_1[[#This Row],[Quantity]]*Table1_1[[#This Row],[Unit Price]]</f>
        <v>7128</v>
      </c>
      <c r="O38">
        <f>Table1_1[[#This Row],[TOTAL SALES]]*Table1_1[[#This Row],[Discount %]]/100</f>
        <v>0</v>
      </c>
      <c r="P38">
        <f>Table1_1[[#This Row],[TOTAL SALES]]-Table1_1[[#This Row],[DIS AMOUNT]]</f>
        <v>7128</v>
      </c>
    </row>
    <row r="39" spans="1:16" x14ac:dyDescent="0.35">
      <c r="A39">
        <v>1039</v>
      </c>
      <c r="B39" s="2">
        <v>46087</v>
      </c>
      <c r="C39" t="s">
        <v>78</v>
      </c>
      <c r="D39" t="s">
        <v>151</v>
      </c>
      <c r="E39" t="s">
        <v>15</v>
      </c>
      <c r="F39" t="s">
        <v>45</v>
      </c>
      <c r="G39" t="s">
        <v>40</v>
      </c>
      <c r="H39">
        <v>6</v>
      </c>
      <c r="I39">
        <v>4718</v>
      </c>
      <c r="J39">
        <v>5</v>
      </c>
      <c r="K39" t="s">
        <v>145</v>
      </c>
      <c r="L39" t="s">
        <v>148</v>
      </c>
      <c r="M39" t="s">
        <v>150</v>
      </c>
      <c r="N39">
        <f>Table1_1[[#This Row],[Quantity]]*Table1_1[[#This Row],[Unit Price]]</f>
        <v>28308</v>
      </c>
      <c r="O39">
        <f>Table1_1[[#This Row],[TOTAL SALES]]*Table1_1[[#This Row],[Discount %]]/100</f>
        <v>1415.4</v>
      </c>
      <c r="P39">
        <f>Table1_1[[#This Row],[TOTAL SALES]]-Table1_1[[#This Row],[DIS AMOUNT]]</f>
        <v>26892.6</v>
      </c>
    </row>
    <row r="40" spans="1:16" x14ac:dyDescent="0.35">
      <c r="A40">
        <v>1040</v>
      </c>
      <c r="B40" s="2">
        <v>46181</v>
      </c>
      <c r="C40" t="s">
        <v>79</v>
      </c>
      <c r="D40" t="s">
        <v>147</v>
      </c>
      <c r="E40" t="s">
        <v>36</v>
      </c>
      <c r="F40" t="s">
        <v>37</v>
      </c>
      <c r="G40" t="s">
        <v>40</v>
      </c>
      <c r="H40">
        <v>8</v>
      </c>
      <c r="I40">
        <v>565</v>
      </c>
      <c r="J40">
        <v>15</v>
      </c>
      <c r="K40" t="s">
        <v>145</v>
      </c>
      <c r="L40" t="s">
        <v>148</v>
      </c>
      <c r="M40" t="s">
        <v>150</v>
      </c>
      <c r="N40">
        <f>Table1_1[[#This Row],[Quantity]]*Table1_1[[#This Row],[Unit Price]]</f>
        <v>4520</v>
      </c>
      <c r="O40">
        <f>Table1_1[[#This Row],[TOTAL SALES]]*Table1_1[[#This Row],[Discount %]]/100</f>
        <v>678</v>
      </c>
      <c r="P40">
        <f>Table1_1[[#This Row],[TOTAL SALES]]-Table1_1[[#This Row],[DIS AMOUNT]]</f>
        <v>3842</v>
      </c>
    </row>
    <row r="41" spans="1:16" x14ac:dyDescent="0.35">
      <c r="A41">
        <v>1041</v>
      </c>
      <c r="B41" s="2">
        <v>46063</v>
      </c>
      <c r="C41" t="s">
        <v>80</v>
      </c>
      <c r="D41" t="s">
        <v>147</v>
      </c>
      <c r="E41" t="s">
        <v>36</v>
      </c>
      <c r="F41" t="s">
        <v>37</v>
      </c>
      <c r="G41" t="s">
        <v>17</v>
      </c>
      <c r="H41">
        <v>3</v>
      </c>
      <c r="I41">
        <v>4102</v>
      </c>
      <c r="J41">
        <v>5</v>
      </c>
      <c r="K41" t="s">
        <v>145</v>
      </c>
      <c r="L41" t="s">
        <v>19</v>
      </c>
      <c r="M41" t="s">
        <v>143</v>
      </c>
      <c r="N41">
        <f>Table1_1[[#This Row],[Quantity]]*Table1_1[[#This Row],[Unit Price]]</f>
        <v>12306</v>
      </c>
      <c r="O41">
        <f>Table1_1[[#This Row],[TOTAL SALES]]*Table1_1[[#This Row],[Discount %]]/100</f>
        <v>615.29999999999995</v>
      </c>
      <c r="P41">
        <f>Table1_1[[#This Row],[TOTAL SALES]]-Table1_1[[#This Row],[DIS AMOUNT]]</f>
        <v>11690.7</v>
      </c>
    </row>
    <row r="42" spans="1:16" x14ac:dyDescent="0.35">
      <c r="A42">
        <v>1042</v>
      </c>
      <c r="B42" s="2">
        <v>46052</v>
      </c>
      <c r="C42" t="s">
        <v>81</v>
      </c>
      <c r="D42" t="s">
        <v>144</v>
      </c>
      <c r="E42" t="s">
        <v>15</v>
      </c>
      <c r="F42" t="s">
        <v>45</v>
      </c>
      <c r="G42" t="s">
        <v>17</v>
      </c>
      <c r="H42">
        <v>4</v>
      </c>
      <c r="I42">
        <v>713</v>
      </c>
      <c r="J42">
        <v>15</v>
      </c>
      <c r="K42" t="s">
        <v>142</v>
      </c>
      <c r="L42" t="s">
        <v>19</v>
      </c>
      <c r="M42" t="s">
        <v>152</v>
      </c>
      <c r="N42">
        <f>Table1_1[[#This Row],[Quantity]]*Table1_1[[#This Row],[Unit Price]]</f>
        <v>2852</v>
      </c>
      <c r="O42">
        <f>Table1_1[[#This Row],[TOTAL SALES]]*Table1_1[[#This Row],[Discount %]]/100</f>
        <v>427.8</v>
      </c>
      <c r="P42">
        <f>Table1_1[[#This Row],[TOTAL SALES]]-Table1_1[[#This Row],[DIS AMOUNT]]</f>
        <v>2424.1999999999998</v>
      </c>
    </row>
    <row r="43" spans="1:16" x14ac:dyDescent="0.35">
      <c r="A43">
        <v>1043</v>
      </c>
      <c r="B43" s="2">
        <v>46156</v>
      </c>
      <c r="C43" t="s">
        <v>82</v>
      </c>
      <c r="D43" t="s">
        <v>141</v>
      </c>
      <c r="E43" t="s">
        <v>15</v>
      </c>
      <c r="F43" t="s">
        <v>45</v>
      </c>
      <c r="G43" t="s">
        <v>27</v>
      </c>
      <c r="H43">
        <v>5</v>
      </c>
      <c r="I43">
        <v>2283</v>
      </c>
      <c r="J43">
        <v>15</v>
      </c>
      <c r="K43" t="s">
        <v>145</v>
      </c>
      <c r="L43" t="s">
        <v>146</v>
      </c>
      <c r="M43" t="s">
        <v>150</v>
      </c>
      <c r="N43">
        <f>Table1_1[[#This Row],[Quantity]]*Table1_1[[#This Row],[Unit Price]]</f>
        <v>11415</v>
      </c>
      <c r="O43">
        <f>Table1_1[[#This Row],[TOTAL SALES]]*Table1_1[[#This Row],[Discount %]]/100</f>
        <v>1712.25</v>
      </c>
      <c r="P43">
        <f>Table1_1[[#This Row],[TOTAL SALES]]-Table1_1[[#This Row],[DIS AMOUNT]]</f>
        <v>9702.75</v>
      </c>
    </row>
    <row r="44" spans="1:16" x14ac:dyDescent="0.35">
      <c r="A44">
        <v>1044</v>
      </c>
      <c r="B44" s="2">
        <v>46078</v>
      </c>
      <c r="C44" t="s">
        <v>83</v>
      </c>
      <c r="D44" t="s">
        <v>141</v>
      </c>
      <c r="E44" t="s">
        <v>36</v>
      </c>
      <c r="F44" t="s">
        <v>39</v>
      </c>
      <c r="G44" t="s">
        <v>46</v>
      </c>
      <c r="H44">
        <v>8</v>
      </c>
      <c r="I44">
        <v>1957</v>
      </c>
      <c r="J44">
        <v>10</v>
      </c>
      <c r="K44" t="s">
        <v>145</v>
      </c>
      <c r="L44" t="s">
        <v>19</v>
      </c>
      <c r="M44" t="s">
        <v>143</v>
      </c>
      <c r="N44">
        <f>Table1_1[[#This Row],[Quantity]]*Table1_1[[#This Row],[Unit Price]]</f>
        <v>15656</v>
      </c>
      <c r="O44">
        <f>Table1_1[[#This Row],[TOTAL SALES]]*Table1_1[[#This Row],[Discount %]]/100</f>
        <v>1565.6</v>
      </c>
      <c r="P44">
        <f>Table1_1[[#This Row],[TOTAL SALES]]-Table1_1[[#This Row],[DIS AMOUNT]]</f>
        <v>14090.4</v>
      </c>
    </row>
    <row r="45" spans="1:16" x14ac:dyDescent="0.35">
      <c r="A45">
        <v>1045</v>
      </c>
      <c r="B45" s="2">
        <v>46046</v>
      </c>
      <c r="C45" t="s">
        <v>84</v>
      </c>
      <c r="D45" t="s">
        <v>151</v>
      </c>
      <c r="E45" t="s">
        <v>25</v>
      </c>
      <c r="F45" t="s">
        <v>26</v>
      </c>
      <c r="G45" t="s">
        <v>46</v>
      </c>
      <c r="H45">
        <v>10</v>
      </c>
      <c r="I45">
        <v>2544</v>
      </c>
      <c r="J45">
        <v>5</v>
      </c>
      <c r="K45" t="s">
        <v>145</v>
      </c>
      <c r="L45" t="s">
        <v>19</v>
      </c>
      <c r="M45" t="s">
        <v>153</v>
      </c>
      <c r="N45">
        <f>Table1_1[[#This Row],[Quantity]]*Table1_1[[#This Row],[Unit Price]]</f>
        <v>25440</v>
      </c>
      <c r="O45">
        <f>Table1_1[[#This Row],[TOTAL SALES]]*Table1_1[[#This Row],[Discount %]]/100</f>
        <v>1272</v>
      </c>
      <c r="P45">
        <f>Table1_1[[#This Row],[TOTAL SALES]]-Table1_1[[#This Row],[DIS AMOUNT]]</f>
        <v>24168</v>
      </c>
    </row>
    <row r="46" spans="1:16" x14ac:dyDescent="0.35">
      <c r="A46">
        <v>1046</v>
      </c>
      <c r="B46" s="2">
        <v>46180</v>
      </c>
      <c r="C46" t="s">
        <v>85</v>
      </c>
      <c r="D46" t="s">
        <v>147</v>
      </c>
      <c r="E46" t="s">
        <v>25</v>
      </c>
      <c r="F46" t="s">
        <v>26</v>
      </c>
      <c r="G46" t="s">
        <v>40</v>
      </c>
      <c r="H46">
        <v>1</v>
      </c>
      <c r="I46">
        <v>353</v>
      </c>
      <c r="J46">
        <v>15</v>
      </c>
      <c r="K46" t="s">
        <v>145</v>
      </c>
      <c r="L46" t="s">
        <v>146</v>
      </c>
      <c r="M46" t="s">
        <v>150</v>
      </c>
      <c r="N46">
        <f>Table1_1[[#This Row],[Quantity]]*Table1_1[[#This Row],[Unit Price]]</f>
        <v>353</v>
      </c>
      <c r="O46">
        <f>Table1_1[[#This Row],[TOTAL SALES]]*Table1_1[[#This Row],[Discount %]]/100</f>
        <v>52.95</v>
      </c>
      <c r="P46">
        <f>Table1_1[[#This Row],[TOTAL SALES]]-Table1_1[[#This Row],[DIS AMOUNT]]</f>
        <v>300.05</v>
      </c>
    </row>
    <row r="47" spans="1:16" x14ac:dyDescent="0.35">
      <c r="A47">
        <v>1047</v>
      </c>
      <c r="B47" s="2">
        <v>46162</v>
      </c>
      <c r="C47" t="s">
        <v>86</v>
      </c>
      <c r="D47" t="s">
        <v>149</v>
      </c>
      <c r="E47" t="s">
        <v>25</v>
      </c>
      <c r="F47" t="s">
        <v>32</v>
      </c>
      <c r="G47" t="s">
        <v>46</v>
      </c>
      <c r="H47">
        <v>9</v>
      </c>
      <c r="I47">
        <v>4928</v>
      </c>
      <c r="J47">
        <v>0</v>
      </c>
      <c r="K47" t="s">
        <v>142</v>
      </c>
      <c r="L47" t="s">
        <v>19</v>
      </c>
      <c r="M47" t="s">
        <v>150</v>
      </c>
      <c r="N47">
        <f>Table1_1[[#This Row],[Quantity]]*Table1_1[[#This Row],[Unit Price]]</f>
        <v>44352</v>
      </c>
      <c r="O47">
        <f>Table1_1[[#This Row],[TOTAL SALES]]*Table1_1[[#This Row],[Discount %]]/100</f>
        <v>0</v>
      </c>
      <c r="P47">
        <f>Table1_1[[#This Row],[TOTAL SALES]]-Table1_1[[#This Row],[DIS AMOUNT]]</f>
        <v>44352</v>
      </c>
    </row>
    <row r="48" spans="1:16" x14ac:dyDescent="0.35">
      <c r="A48">
        <v>1048</v>
      </c>
      <c r="B48" s="2">
        <v>46078</v>
      </c>
      <c r="C48" t="s">
        <v>87</v>
      </c>
      <c r="D48" t="s">
        <v>147</v>
      </c>
      <c r="E48" t="s">
        <v>15</v>
      </c>
      <c r="F48" t="s">
        <v>16</v>
      </c>
      <c r="G48" t="s">
        <v>46</v>
      </c>
      <c r="H48">
        <v>9</v>
      </c>
      <c r="I48">
        <v>1271</v>
      </c>
      <c r="J48">
        <v>15</v>
      </c>
      <c r="K48" t="s">
        <v>142</v>
      </c>
      <c r="L48" t="s">
        <v>19</v>
      </c>
      <c r="M48" t="s">
        <v>152</v>
      </c>
      <c r="N48">
        <f>Table1_1[[#This Row],[Quantity]]*Table1_1[[#This Row],[Unit Price]]</f>
        <v>11439</v>
      </c>
      <c r="O48">
        <f>Table1_1[[#This Row],[TOTAL SALES]]*Table1_1[[#This Row],[Discount %]]/100</f>
        <v>1715.85</v>
      </c>
      <c r="P48">
        <f>Table1_1[[#This Row],[TOTAL SALES]]-Table1_1[[#This Row],[DIS AMOUNT]]</f>
        <v>9723.15</v>
      </c>
    </row>
    <row r="49" spans="1:16" x14ac:dyDescent="0.35">
      <c r="A49">
        <v>1049</v>
      </c>
      <c r="B49" s="2">
        <v>46052</v>
      </c>
      <c r="C49" t="s">
        <v>88</v>
      </c>
      <c r="D49" t="s">
        <v>151</v>
      </c>
      <c r="E49" t="s">
        <v>15</v>
      </c>
      <c r="F49" t="s">
        <v>16</v>
      </c>
      <c r="G49" t="s">
        <v>40</v>
      </c>
      <c r="H49">
        <v>6</v>
      </c>
      <c r="I49">
        <v>4683</v>
      </c>
      <c r="J49">
        <v>15</v>
      </c>
      <c r="K49" t="s">
        <v>145</v>
      </c>
      <c r="L49" t="s">
        <v>146</v>
      </c>
      <c r="M49" t="s">
        <v>153</v>
      </c>
      <c r="N49">
        <f>Table1_1[[#This Row],[Quantity]]*Table1_1[[#This Row],[Unit Price]]</f>
        <v>28098</v>
      </c>
      <c r="O49">
        <f>Table1_1[[#This Row],[TOTAL SALES]]*Table1_1[[#This Row],[Discount %]]/100</f>
        <v>4214.7</v>
      </c>
      <c r="P49">
        <f>Table1_1[[#This Row],[TOTAL SALES]]-Table1_1[[#This Row],[DIS AMOUNT]]</f>
        <v>23883.3</v>
      </c>
    </row>
    <row r="50" spans="1:16" x14ac:dyDescent="0.35">
      <c r="A50">
        <v>1050</v>
      </c>
      <c r="B50" s="2">
        <v>46189</v>
      </c>
      <c r="C50" t="s">
        <v>89</v>
      </c>
      <c r="D50" t="s">
        <v>147</v>
      </c>
      <c r="E50" t="s">
        <v>25</v>
      </c>
      <c r="F50" t="s">
        <v>26</v>
      </c>
      <c r="G50" t="s">
        <v>46</v>
      </c>
      <c r="H50">
        <v>7</v>
      </c>
      <c r="I50">
        <v>2360</v>
      </c>
      <c r="J50">
        <v>10</v>
      </c>
      <c r="K50" t="s">
        <v>142</v>
      </c>
      <c r="L50" t="s">
        <v>146</v>
      </c>
      <c r="M50" t="s">
        <v>152</v>
      </c>
      <c r="N50">
        <f>Table1_1[[#This Row],[Quantity]]*Table1_1[[#This Row],[Unit Price]]</f>
        <v>16520</v>
      </c>
      <c r="O50">
        <f>Table1_1[[#This Row],[TOTAL SALES]]*Table1_1[[#This Row],[Discount %]]/100</f>
        <v>1652</v>
      </c>
      <c r="P50">
        <f>Table1_1[[#This Row],[TOTAL SALES]]-Table1_1[[#This Row],[DIS AMOUNT]]</f>
        <v>14868</v>
      </c>
    </row>
    <row r="51" spans="1:16" x14ac:dyDescent="0.35">
      <c r="A51">
        <v>1051</v>
      </c>
      <c r="B51" s="2">
        <v>46054</v>
      </c>
      <c r="C51" t="s">
        <v>90</v>
      </c>
      <c r="D51" t="s">
        <v>151</v>
      </c>
      <c r="E51" t="s">
        <v>25</v>
      </c>
      <c r="F51" t="s">
        <v>26</v>
      </c>
      <c r="G51" t="s">
        <v>46</v>
      </c>
      <c r="H51">
        <v>10</v>
      </c>
      <c r="I51">
        <v>385</v>
      </c>
      <c r="J51">
        <v>0</v>
      </c>
      <c r="K51" t="s">
        <v>145</v>
      </c>
      <c r="L51" t="s">
        <v>146</v>
      </c>
      <c r="M51" t="s">
        <v>153</v>
      </c>
      <c r="N51">
        <f>Table1_1[[#This Row],[Quantity]]*Table1_1[[#This Row],[Unit Price]]</f>
        <v>3850</v>
      </c>
      <c r="O51">
        <f>Table1_1[[#This Row],[TOTAL SALES]]*Table1_1[[#This Row],[Discount %]]/100</f>
        <v>0</v>
      </c>
      <c r="P51">
        <f>Table1_1[[#This Row],[TOTAL SALES]]-Table1_1[[#This Row],[DIS AMOUNT]]</f>
        <v>3850</v>
      </c>
    </row>
    <row r="52" spans="1:16" x14ac:dyDescent="0.35">
      <c r="A52">
        <v>1052</v>
      </c>
      <c r="B52" s="2">
        <v>46110</v>
      </c>
      <c r="C52" t="s">
        <v>91</v>
      </c>
      <c r="D52" t="s">
        <v>151</v>
      </c>
      <c r="E52" t="s">
        <v>25</v>
      </c>
      <c r="F52" t="s">
        <v>26</v>
      </c>
      <c r="G52" t="s">
        <v>17</v>
      </c>
      <c r="H52">
        <v>5</v>
      </c>
      <c r="I52">
        <v>1649</v>
      </c>
      <c r="J52">
        <v>5</v>
      </c>
      <c r="K52" t="s">
        <v>142</v>
      </c>
      <c r="L52" t="s">
        <v>146</v>
      </c>
      <c r="M52" t="s">
        <v>152</v>
      </c>
      <c r="N52">
        <f>Table1_1[[#This Row],[Quantity]]*Table1_1[[#This Row],[Unit Price]]</f>
        <v>8245</v>
      </c>
      <c r="O52">
        <f>Table1_1[[#This Row],[TOTAL SALES]]*Table1_1[[#This Row],[Discount %]]/100</f>
        <v>412.25</v>
      </c>
      <c r="P52">
        <f>Table1_1[[#This Row],[TOTAL SALES]]-Table1_1[[#This Row],[DIS AMOUNT]]</f>
        <v>7832.75</v>
      </c>
    </row>
    <row r="53" spans="1:16" x14ac:dyDescent="0.35">
      <c r="A53">
        <v>1053</v>
      </c>
      <c r="B53" s="2">
        <v>46033</v>
      </c>
      <c r="C53" t="s">
        <v>92</v>
      </c>
      <c r="D53" t="s">
        <v>144</v>
      </c>
      <c r="E53" t="s">
        <v>36</v>
      </c>
      <c r="F53" t="s">
        <v>37</v>
      </c>
      <c r="G53" t="s">
        <v>17</v>
      </c>
      <c r="H53">
        <v>7</v>
      </c>
      <c r="I53">
        <v>4810</v>
      </c>
      <c r="J53">
        <v>0</v>
      </c>
      <c r="K53" t="s">
        <v>142</v>
      </c>
      <c r="L53" t="s">
        <v>148</v>
      </c>
      <c r="M53" t="s">
        <v>152</v>
      </c>
      <c r="N53">
        <f>Table1_1[[#This Row],[Quantity]]*Table1_1[[#This Row],[Unit Price]]</f>
        <v>33670</v>
      </c>
      <c r="O53">
        <f>Table1_1[[#This Row],[TOTAL SALES]]*Table1_1[[#This Row],[Discount %]]/100</f>
        <v>0</v>
      </c>
      <c r="P53">
        <f>Table1_1[[#This Row],[TOTAL SALES]]-Table1_1[[#This Row],[DIS AMOUNT]]</f>
        <v>33670</v>
      </c>
    </row>
    <row r="54" spans="1:16" x14ac:dyDescent="0.35">
      <c r="A54">
        <v>1054</v>
      </c>
      <c r="B54" s="2">
        <v>46146</v>
      </c>
      <c r="C54" t="s">
        <v>93</v>
      </c>
      <c r="D54" t="s">
        <v>144</v>
      </c>
      <c r="E54" t="s">
        <v>25</v>
      </c>
      <c r="F54" t="s">
        <v>32</v>
      </c>
      <c r="G54" t="s">
        <v>27</v>
      </c>
      <c r="H54">
        <v>7</v>
      </c>
      <c r="I54">
        <v>1749</v>
      </c>
      <c r="J54">
        <v>15</v>
      </c>
      <c r="K54" t="s">
        <v>142</v>
      </c>
      <c r="L54" t="s">
        <v>19</v>
      </c>
      <c r="M54" t="s">
        <v>152</v>
      </c>
      <c r="N54">
        <f>Table1_1[[#This Row],[Quantity]]*Table1_1[[#This Row],[Unit Price]]</f>
        <v>12243</v>
      </c>
      <c r="O54">
        <f>Table1_1[[#This Row],[TOTAL SALES]]*Table1_1[[#This Row],[Discount %]]/100</f>
        <v>1836.45</v>
      </c>
      <c r="P54">
        <f>Table1_1[[#This Row],[TOTAL SALES]]-Table1_1[[#This Row],[DIS AMOUNT]]</f>
        <v>10406.549999999999</v>
      </c>
    </row>
    <row r="55" spans="1:16" x14ac:dyDescent="0.35">
      <c r="A55">
        <v>1055</v>
      </c>
      <c r="B55" s="2">
        <v>46203</v>
      </c>
      <c r="C55" t="s">
        <v>94</v>
      </c>
      <c r="D55" t="s">
        <v>151</v>
      </c>
      <c r="E55" t="s">
        <v>15</v>
      </c>
      <c r="F55" t="s">
        <v>16</v>
      </c>
      <c r="G55" t="s">
        <v>46</v>
      </c>
      <c r="H55">
        <v>8</v>
      </c>
      <c r="I55">
        <v>1461</v>
      </c>
      <c r="J55">
        <v>10</v>
      </c>
      <c r="K55" t="s">
        <v>142</v>
      </c>
      <c r="L55" t="s">
        <v>148</v>
      </c>
      <c r="M55" t="s">
        <v>153</v>
      </c>
      <c r="N55">
        <f>Table1_1[[#This Row],[Quantity]]*Table1_1[[#This Row],[Unit Price]]</f>
        <v>11688</v>
      </c>
      <c r="O55">
        <f>Table1_1[[#This Row],[TOTAL SALES]]*Table1_1[[#This Row],[Discount %]]/100</f>
        <v>1168.8</v>
      </c>
      <c r="P55">
        <f>Table1_1[[#This Row],[TOTAL SALES]]-Table1_1[[#This Row],[DIS AMOUNT]]</f>
        <v>10519.2</v>
      </c>
    </row>
    <row r="56" spans="1:16" x14ac:dyDescent="0.35">
      <c r="A56">
        <v>1056</v>
      </c>
      <c r="B56" s="2">
        <v>46066</v>
      </c>
      <c r="C56" t="s">
        <v>95</v>
      </c>
      <c r="D56" t="s">
        <v>149</v>
      </c>
      <c r="E56" t="s">
        <v>25</v>
      </c>
      <c r="F56" t="s">
        <v>32</v>
      </c>
      <c r="G56" t="s">
        <v>17</v>
      </c>
      <c r="H56">
        <v>1</v>
      </c>
      <c r="I56">
        <v>941</v>
      </c>
      <c r="J56">
        <v>0</v>
      </c>
      <c r="K56" t="s">
        <v>142</v>
      </c>
      <c r="L56" t="s">
        <v>19</v>
      </c>
      <c r="M56" t="s">
        <v>153</v>
      </c>
      <c r="N56">
        <f>Table1_1[[#This Row],[Quantity]]*Table1_1[[#This Row],[Unit Price]]</f>
        <v>941</v>
      </c>
      <c r="O56">
        <f>Table1_1[[#This Row],[TOTAL SALES]]*Table1_1[[#This Row],[Discount %]]/100</f>
        <v>0</v>
      </c>
      <c r="P56">
        <f>Table1_1[[#This Row],[TOTAL SALES]]-Table1_1[[#This Row],[DIS AMOUNT]]</f>
        <v>941</v>
      </c>
    </row>
    <row r="57" spans="1:16" x14ac:dyDescent="0.35">
      <c r="A57">
        <v>1057</v>
      </c>
      <c r="B57" s="2">
        <v>46163</v>
      </c>
      <c r="C57" t="s">
        <v>96</v>
      </c>
      <c r="D57" t="s">
        <v>151</v>
      </c>
      <c r="E57" t="s">
        <v>25</v>
      </c>
      <c r="F57" t="s">
        <v>26</v>
      </c>
      <c r="G57" t="s">
        <v>17</v>
      </c>
      <c r="H57">
        <v>3</v>
      </c>
      <c r="I57">
        <v>1245</v>
      </c>
      <c r="J57">
        <v>0</v>
      </c>
      <c r="K57" t="s">
        <v>142</v>
      </c>
      <c r="L57" t="s">
        <v>148</v>
      </c>
      <c r="M57" t="s">
        <v>153</v>
      </c>
      <c r="N57">
        <f>Table1_1[[#This Row],[Quantity]]*Table1_1[[#This Row],[Unit Price]]</f>
        <v>3735</v>
      </c>
      <c r="O57">
        <f>Table1_1[[#This Row],[TOTAL SALES]]*Table1_1[[#This Row],[Discount %]]/100</f>
        <v>0</v>
      </c>
      <c r="P57">
        <f>Table1_1[[#This Row],[TOTAL SALES]]-Table1_1[[#This Row],[DIS AMOUNT]]</f>
        <v>3735</v>
      </c>
    </row>
    <row r="58" spans="1:16" x14ac:dyDescent="0.35">
      <c r="A58">
        <v>1058</v>
      </c>
      <c r="B58" s="2">
        <v>46096</v>
      </c>
      <c r="C58" t="s">
        <v>97</v>
      </c>
      <c r="D58" t="s">
        <v>151</v>
      </c>
      <c r="E58" t="s">
        <v>25</v>
      </c>
      <c r="F58" t="s">
        <v>32</v>
      </c>
      <c r="G58" t="s">
        <v>46</v>
      </c>
      <c r="H58">
        <v>5</v>
      </c>
      <c r="I58">
        <v>3559</v>
      </c>
      <c r="J58">
        <v>5</v>
      </c>
      <c r="K58" t="s">
        <v>145</v>
      </c>
      <c r="L58" t="s">
        <v>148</v>
      </c>
      <c r="M58" t="s">
        <v>143</v>
      </c>
      <c r="N58">
        <f>Table1_1[[#This Row],[Quantity]]*Table1_1[[#This Row],[Unit Price]]</f>
        <v>17795</v>
      </c>
      <c r="O58">
        <f>Table1_1[[#This Row],[TOTAL SALES]]*Table1_1[[#This Row],[Discount %]]/100</f>
        <v>889.75</v>
      </c>
      <c r="P58">
        <f>Table1_1[[#This Row],[TOTAL SALES]]-Table1_1[[#This Row],[DIS AMOUNT]]</f>
        <v>16905.25</v>
      </c>
    </row>
    <row r="59" spans="1:16" x14ac:dyDescent="0.35">
      <c r="A59">
        <v>1059</v>
      </c>
      <c r="B59" s="2">
        <v>46081</v>
      </c>
      <c r="C59" t="s">
        <v>98</v>
      </c>
      <c r="D59" t="s">
        <v>144</v>
      </c>
      <c r="E59" t="s">
        <v>15</v>
      </c>
      <c r="F59" t="s">
        <v>16</v>
      </c>
      <c r="G59" t="s">
        <v>46</v>
      </c>
      <c r="H59">
        <v>4</v>
      </c>
      <c r="I59">
        <v>1204</v>
      </c>
      <c r="J59">
        <v>10</v>
      </c>
      <c r="K59" t="s">
        <v>145</v>
      </c>
      <c r="L59" t="s">
        <v>146</v>
      </c>
      <c r="M59" t="s">
        <v>152</v>
      </c>
      <c r="N59">
        <f>Table1_1[[#This Row],[Quantity]]*Table1_1[[#This Row],[Unit Price]]</f>
        <v>4816</v>
      </c>
      <c r="O59">
        <f>Table1_1[[#This Row],[TOTAL SALES]]*Table1_1[[#This Row],[Discount %]]/100</f>
        <v>481.6</v>
      </c>
      <c r="P59">
        <f>Table1_1[[#This Row],[TOTAL SALES]]-Table1_1[[#This Row],[DIS AMOUNT]]</f>
        <v>4334.3999999999996</v>
      </c>
    </row>
    <row r="60" spans="1:16" x14ac:dyDescent="0.35">
      <c r="A60">
        <v>1060</v>
      </c>
      <c r="B60" s="2">
        <v>46045</v>
      </c>
      <c r="C60" t="s">
        <v>99</v>
      </c>
      <c r="D60" t="s">
        <v>147</v>
      </c>
      <c r="E60" t="s">
        <v>15</v>
      </c>
      <c r="F60" t="s">
        <v>16</v>
      </c>
      <c r="G60" t="s">
        <v>27</v>
      </c>
      <c r="H60">
        <v>10</v>
      </c>
      <c r="I60">
        <v>435</v>
      </c>
      <c r="J60">
        <v>10</v>
      </c>
      <c r="K60" t="s">
        <v>142</v>
      </c>
      <c r="L60" t="s">
        <v>19</v>
      </c>
      <c r="M60" t="s">
        <v>152</v>
      </c>
      <c r="N60">
        <f>Table1_1[[#This Row],[Quantity]]*Table1_1[[#This Row],[Unit Price]]</f>
        <v>4350</v>
      </c>
      <c r="O60">
        <f>Table1_1[[#This Row],[TOTAL SALES]]*Table1_1[[#This Row],[Discount %]]/100</f>
        <v>435</v>
      </c>
      <c r="P60">
        <f>Table1_1[[#This Row],[TOTAL SALES]]-Table1_1[[#This Row],[DIS AMOUNT]]</f>
        <v>3915</v>
      </c>
    </row>
    <row r="61" spans="1:16" x14ac:dyDescent="0.35">
      <c r="A61">
        <v>1061</v>
      </c>
      <c r="B61" s="2">
        <v>46074</v>
      </c>
      <c r="C61" t="s">
        <v>100</v>
      </c>
      <c r="D61" t="s">
        <v>144</v>
      </c>
      <c r="E61" t="s">
        <v>25</v>
      </c>
      <c r="F61" t="s">
        <v>26</v>
      </c>
      <c r="G61" t="s">
        <v>46</v>
      </c>
      <c r="H61">
        <v>4</v>
      </c>
      <c r="I61">
        <v>4428</v>
      </c>
      <c r="J61">
        <v>0</v>
      </c>
      <c r="K61" t="s">
        <v>145</v>
      </c>
      <c r="L61" t="s">
        <v>148</v>
      </c>
      <c r="M61" t="s">
        <v>153</v>
      </c>
      <c r="N61">
        <f>Table1_1[[#This Row],[Quantity]]*Table1_1[[#This Row],[Unit Price]]</f>
        <v>17712</v>
      </c>
      <c r="O61">
        <f>Table1_1[[#This Row],[TOTAL SALES]]*Table1_1[[#This Row],[Discount %]]/100</f>
        <v>0</v>
      </c>
      <c r="P61">
        <f>Table1_1[[#This Row],[TOTAL SALES]]-Table1_1[[#This Row],[DIS AMOUNT]]</f>
        <v>17712</v>
      </c>
    </row>
    <row r="62" spans="1:16" x14ac:dyDescent="0.35">
      <c r="A62">
        <v>1062</v>
      </c>
      <c r="B62" s="2">
        <v>46067</v>
      </c>
      <c r="C62" t="s">
        <v>101</v>
      </c>
      <c r="D62" t="s">
        <v>149</v>
      </c>
      <c r="E62" t="s">
        <v>15</v>
      </c>
      <c r="F62" t="s">
        <v>45</v>
      </c>
      <c r="G62" t="s">
        <v>40</v>
      </c>
      <c r="H62">
        <v>4</v>
      </c>
      <c r="I62">
        <v>2146</v>
      </c>
      <c r="J62">
        <v>5</v>
      </c>
      <c r="K62" t="s">
        <v>145</v>
      </c>
      <c r="L62" t="s">
        <v>148</v>
      </c>
      <c r="M62" t="s">
        <v>152</v>
      </c>
      <c r="N62">
        <f>Table1_1[[#This Row],[Quantity]]*Table1_1[[#This Row],[Unit Price]]</f>
        <v>8584</v>
      </c>
      <c r="O62">
        <f>Table1_1[[#This Row],[TOTAL SALES]]*Table1_1[[#This Row],[Discount %]]/100</f>
        <v>429.2</v>
      </c>
      <c r="P62">
        <f>Table1_1[[#This Row],[TOTAL SALES]]-Table1_1[[#This Row],[DIS AMOUNT]]</f>
        <v>8154.8</v>
      </c>
    </row>
    <row r="63" spans="1:16" x14ac:dyDescent="0.35">
      <c r="A63">
        <v>1063</v>
      </c>
      <c r="B63" s="2">
        <v>46092</v>
      </c>
      <c r="C63" t="s">
        <v>102</v>
      </c>
      <c r="D63" t="s">
        <v>144</v>
      </c>
      <c r="E63" t="s">
        <v>36</v>
      </c>
      <c r="F63" t="s">
        <v>37</v>
      </c>
      <c r="G63" t="s">
        <v>27</v>
      </c>
      <c r="H63">
        <v>4</v>
      </c>
      <c r="I63">
        <v>1168</v>
      </c>
      <c r="J63">
        <v>15</v>
      </c>
      <c r="K63" t="s">
        <v>145</v>
      </c>
      <c r="L63" t="s">
        <v>146</v>
      </c>
      <c r="M63" t="s">
        <v>153</v>
      </c>
      <c r="N63">
        <f>Table1_1[[#This Row],[Quantity]]*Table1_1[[#This Row],[Unit Price]]</f>
        <v>4672</v>
      </c>
      <c r="O63">
        <f>Table1_1[[#This Row],[TOTAL SALES]]*Table1_1[[#This Row],[Discount %]]/100</f>
        <v>700.8</v>
      </c>
      <c r="P63">
        <f>Table1_1[[#This Row],[TOTAL SALES]]-Table1_1[[#This Row],[DIS AMOUNT]]</f>
        <v>3971.2</v>
      </c>
    </row>
    <row r="64" spans="1:16" x14ac:dyDescent="0.35">
      <c r="A64">
        <v>1064</v>
      </c>
      <c r="B64" s="2">
        <v>46059</v>
      </c>
      <c r="C64" t="s">
        <v>103</v>
      </c>
      <c r="D64" t="s">
        <v>144</v>
      </c>
      <c r="E64" t="s">
        <v>36</v>
      </c>
      <c r="F64" t="s">
        <v>39</v>
      </c>
      <c r="G64" t="s">
        <v>46</v>
      </c>
      <c r="H64">
        <v>6</v>
      </c>
      <c r="I64">
        <v>4798</v>
      </c>
      <c r="J64">
        <v>10</v>
      </c>
      <c r="K64" t="s">
        <v>145</v>
      </c>
      <c r="L64" t="s">
        <v>148</v>
      </c>
      <c r="M64" t="s">
        <v>143</v>
      </c>
      <c r="N64">
        <f>Table1_1[[#This Row],[Quantity]]*Table1_1[[#This Row],[Unit Price]]</f>
        <v>28788</v>
      </c>
      <c r="O64">
        <f>Table1_1[[#This Row],[TOTAL SALES]]*Table1_1[[#This Row],[Discount %]]/100</f>
        <v>2878.8</v>
      </c>
      <c r="P64">
        <f>Table1_1[[#This Row],[TOTAL SALES]]-Table1_1[[#This Row],[DIS AMOUNT]]</f>
        <v>25909.200000000001</v>
      </c>
    </row>
    <row r="65" spans="1:16" x14ac:dyDescent="0.35">
      <c r="A65">
        <v>1065</v>
      </c>
      <c r="B65" s="2">
        <v>46082</v>
      </c>
      <c r="C65" t="s">
        <v>104</v>
      </c>
      <c r="D65" t="s">
        <v>151</v>
      </c>
      <c r="E65" t="s">
        <v>36</v>
      </c>
      <c r="F65" t="s">
        <v>54</v>
      </c>
      <c r="G65" t="s">
        <v>27</v>
      </c>
      <c r="H65">
        <v>3</v>
      </c>
      <c r="I65">
        <v>2000</v>
      </c>
      <c r="J65">
        <v>10</v>
      </c>
      <c r="K65" t="s">
        <v>145</v>
      </c>
      <c r="L65" t="s">
        <v>148</v>
      </c>
      <c r="M65" t="s">
        <v>153</v>
      </c>
      <c r="N65">
        <f>Table1_1[[#This Row],[Quantity]]*Table1_1[[#This Row],[Unit Price]]</f>
        <v>6000</v>
      </c>
      <c r="O65">
        <f>Table1_1[[#This Row],[TOTAL SALES]]*Table1_1[[#This Row],[Discount %]]/100</f>
        <v>600</v>
      </c>
      <c r="P65">
        <f>Table1_1[[#This Row],[TOTAL SALES]]-Table1_1[[#This Row],[DIS AMOUNT]]</f>
        <v>5400</v>
      </c>
    </row>
    <row r="66" spans="1:16" x14ac:dyDescent="0.35">
      <c r="A66">
        <v>1066</v>
      </c>
      <c r="B66" s="2">
        <v>46115</v>
      </c>
      <c r="C66" t="s">
        <v>105</v>
      </c>
      <c r="D66" t="s">
        <v>144</v>
      </c>
      <c r="E66" t="s">
        <v>15</v>
      </c>
      <c r="F66" t="s">
        <v>45</v>
      </c>
      <c r="G66" t="s">
        <v>40</v>
      </c>
      <c r="H66">
        <v>4</v>
      </c>
      <c r="I66">
        <v>3282</v>
      </c>
      <c r="J66">
        <v>15</v>
      </c>
      <c r="K66" t="s">
        <v>145</v>
      </c>
      <c r="L66" t="s">
        <v>146</v>
      </c>
      <c r="M66" t="s">
        <v>152</v>
      </c>
      <c r="N66">
        <f>Table1_1[[#This Row],[Quantity]]*Table1_1[[#This Row],[Unit Price]]</f>
        <v>13128</v>
      </c>
      <c r="O66">
        <f>Table1_1[[#This Row],[TOTAL SALES]]*Table1_1[[#This Row],[Discount %]]/100</f>
        <v>1969.2</v>
      </c>
      <c r="P66">
        <f>Table1_1[[#This Row],[TOTAL SALES]]-Table1_1[[#This Row],[DIS AMOUNT]]</f>
        <v>11158.8</v>
      </c>
    </row>
    <row r="67" spans="1:16" x14ac:dyDescent="0.35">
      <c r="A67">
        <v>1067</v>
      </c>
      <c r="B67" s="2">
        <v>46067</v>
      </c>
      <c r="C67" t="s">
        <v>106</v>
      </c>
      <c r="D67" t="s">
        <v>149</v>
      </c>
      <c r="E67" t="s">
        <v>15</v>
      </c>
      <c r="F67" t="s">
        <v>45</v>
      </c>
      <c r="G67" t="s">
        <v>17</v>
      </c>
      <c r="H67">
        <v>6</v>
      </c>
      <c r="I67">
        <v>584</v>
      </c>
      <c r="J67">
        <v>15</v>
      </c>
      <c r="K67" t="s">
        <v>142</v>
      </c>
      <c r="L67" t="s">
        <v>148</v>
      </c>
      <c r="M67" t="s">
        <v>150</v>
      </c>
      <c r="N67">
        <f>Table1_1[[#This Row],[Quantity]]*Table1_1[[#This Row],[Unit Price]]</f>
        <v>3504</v>
      </c>
      <c r="O67">
        <f>Table1_1[[#This Row],[TOTAL SALES]]*Table1_1[[#This Row],[Discount %]]/100</f>
        <v>525.6</v>
      </c>
      <c r="P67">
        <f>Table1_1[[#This Row],[TOTAL SALES]]-Table1_1[[#This Row],[DIS AMOUNT]]</f>
        <v>2978.4</v>
      </c>
    </row>
    <row r="68" spans="1:16" x14ac:dyDescent="0.35">
      <c r="A68">
        <v>1068</v>
      </c>
      <c r="B68" s="2">
        <v>46032</v>
      </c>
      <c r="C68" t="s">
        <v>107</v>
      </c>
      <c r="D68" t="s">
        <v>149</v>
      </c>
      <c r="E68" t="s">
        <v>25</v>
      </c>
      <c r="F68" t="s">
        <v>26</v>
      </c>
      <c r="G68" t="s">
        <v>17</v>
      </c>
      <c r="H68">
        <v>2</v>
      </c>
      <c r="I68">
        <v>1798</v>
      </c>
      <c r="J68">
        <v>10</v>
      </c>
      <c r="K68" t="s">
        <v>142</v>
      </c>
      <c r="L68" t="s">
        <v>146</v>
      </c>
      <c r="M68" t="s">
        <v>153</v>
      </c>
      <c r="N68">
        <f>Table1_1[[#This Row],[Quantity]]*Table1_1[[#This Row],[Unit Price]]</f>
        <v>3596</v>
      </c>
      <c r="O68">
        <f>Table1_1[[#This Row],[TOTAL SALES]]*Table1_1[[#This Row],[Discount %]]/100</f>
        <v>359.6</v>
      </c>
      <c r="P68">
        <f>Table1_1[[#This Row],[TOTAL SALES]]-Table1_1[[#This Row],[DIS AMOUNT]]</f>
        <v>3236.4</v>
      </c>
    </row>
    <row r="69" spans="1:16" x14ac:dyDescent="0.35">
      <c r="A69">
        <v>1069</v>
      </c>
      <c r="B69" s="2">
        <v>46061</v>
      </c>
      <c r="C69" t="s">
        <v>108</v>
      </c>
      <c r="D69" t="s">
        <v>141</v>
      </c>
      <c r="E69" t="s">
        <v>15</v>
      </c>
      <c r="F69" t="s">
        <v>16</v>
      </c>
      <c r="G69" t="s">
        <v>17</v>
      </c>
      <c r="H69">
        <v>6</v>
      </c>
      <c r="I69">
        <v>3099</v>
      </c>
      <c r="J69">
        <v>5</v>
      </c>
      <c r="K69" t="s">
        <v>145</v>
      </c>
      <c r="L69" t="s">
        <v>148</v>
      </c>
      <c r="M69" t="s">
        <v>143</v>
      </c>
      <c r="N69">
        <f>Table1_1[[#This Row],[Quantity]]*Table1_1[[#This Row],[Unit Price]]</f>
        <v>18594</v>
      </c>
      <c r="O69">
        <f>Table1_1[[#This Row],[TOTAL SALES]]*Table1_1[[#This Row],[Discount %]]/100</f>
        <v>929.7</v>
      </c>
      <c r="P69">
        <f>Table1_1[[#This Row],[TOTAL SALES]]-Table1_1[[#This Row],[DIS AMOUNT]]</f>
        <v>17664.3</v>
      </c>
    </row>
    <row r="70" spans="1:16" x14ac:dyDescent="0.35">
      <c r="A70">
        <v>1070</v>
      </c>
      <c r="B70" s="2">
        <v>46161</v>
      </c>
      <c r="C70" t="s">
        <v>109</v>
      </c>
      <c r="D70" t="s">
        <v>144</v>
      </c>
      <c r="E70" t="s">
        <v>15</v>
      </c>
      <c r="F70" t="s">
        <v>45</v>
      </c>
      <c r="G70" t="s">
        <v>46</v>
      </c>
      <c r="H70">
        <v>3</v>
      </c>
      <c r="I70">
        <v>1879</v>
      </c>
      <c r="J70">
        <v>10</v>
      </c>
      <c r="K70" t="s">
        <v>145</v>
      </c>
      <c r="L70" t="s">
        <v>146</v>
      </c>
      <c r="M70" t="s">
        <v>143</v>
      </c>
      <c r="N70">
        <f>Table1_1[[#This Row],[Quantity]]*Table1_1[[#This Row],[Unit Price]]</f>
        <v>5637</v>
      </c>
      <c r="O70">
        <f>Table1_1[[#This Row],[TOTAL SALES]]*Table1_1[[#This Row],[Discount %]]/100</f>
        <v>563.70000000000005</v>
      </c>
      <c r="P70">
        <f>Table1_1[[#This Row],[TOTAL SALES]]-Table1_1[[#This Row],[DIS AMOUNT]]</f>
        <v>5073.3</v>
      </c>
    </row>
    <row r="71" spans="1:16" x14ac:dyDescent="0.35">
      <c r="A71">
        <v>1071</v>
      </c>
      <c r="B71" s="2">
        <v>46029</v>
      </c>
      <c r="C71" t="s">
        <v>110</v>
      </c>
      <c r="D71" t="s">
        <v>141</v>
      </c>
      <c r="E71" t="s">
        <v>15</v>
      </c>
      <c r="F71" t="s">
        <v>16</v>
      </c>
      <c r="G71" t="s">
        <v>40</v>
      </c>
      <c r="H71">
        <v>9</v>
      </c>
      <c r="I71">
        <v>930</v>
      </c>
      <c r="J71">
        <v>0</v>
      </c>
      <c r="K71" t="s">
        <v>145</v>
      </c>
      <c r="L71" t="s">
        <v>146</v>
      </c>
      <c r="M71" t="s">
        <v>143</v>
      </c>
      <c r="N71">
        <f>Table1_1[[#This Row],[Quantity]]*Table1_1[[#This Row],[Unit Price]]</f>
        <v>8370</v>
      </c>
      <c r="O71">
        <f>Table1_1[[#This Row],[TOTAL SALES]]*Table1_1[[#This Row],[Discount %]]/100</f>
        <v>0</v>
      </c>
      <c r="P71">
        <f>Table1_1[[#This Row],[TOTAL SALES]]-Table1_1[[#This Row],[DIS AMOUNT]]</f>
        <v>8370</v>
      </c>
    </row>
    <row r="72" spans="1:16" x14ac:dyDescent="0.35">
      <c r="A72">
        <v>1072</v>
      </c>
      <c r="B72" s="2">
        <v>46181</v>
      </c>
      <c r="C72" t="s">
        <v>111</v>
      </c>
      <c r="D72" t="s">
        <v>151</v>
      </c>
      <c r="E72" t="s">
        <v>25</v>
      </c>
      <c r="F72" t="s">
        <v>32</v>
      </c>
      <c r="G72" t="s">
        <v>17</v>
      </c>
      <c r="H72">
        <v>6</v>
      </c>
      <c r="I72">
        <v>4713</v>
      </c>
      <c r="J72">
        <v>0</v>
      </c>
      <c r="K72" t="s">
        <v>145</v>
      </c>
      <c r="L72" t="s">
        <v>148</v>
      </c>
      <c r="M72" t="s">
        <v>143</v>
      </c>
      <c r="N72">
        <f>Table1_1[[#This Row],[Quantity]]*Table1_1[[#This Row],[Unit Price]]</f>
        <v>28278</v>
      </c>
      <c r="O72">
        <f>Table1_1[[#This Row],[TOTAL SALES]]*Table1_1[[#This Row],[Discount %]]/100</f>
        <v>0</v>
      </c>
      <c r="P72">
        <f>Table1_1[[#This Row],[TOTAL SALES]]-Table1_1[[#This Row],[DIS AMOUNT]]</f>
        <v>28278</v>
      </c>
    </row>
    <row r="73" spans="1:16" x14ac:dyDescent="0.35">
      <c r="A73">
        <v>1073</v>
      </c>
      <c r="B73" s="2">
        <v>46186</v>
      </c>
      <c r="C73" t="s">
        <v>112</v>
      </c>
      <c r="D73" t="s">
        <v>144</v>
      </c>
      <c r="E73" t="s">
        <v>25</v>
      </c>
      <c r="F73" t="s">
        <v>26</v>
      </c>
      <c r="G73" t="s">
        <v>17</v>
      </c>
      <c r="H73">
        <v>2</v>
      </c>
      <c r="I73">
        <v>3055</v>
      </c>
      <c r="J73">
        <v>5</v>
      </c>
      <c r="K73" t="s">
        <v>142</v>
      </c>
      <c r="L73" t="s">
        <v>146</v>
      </c>
      <c r="M73" t="s">
        <v>150</v>
      </c>
      <c r="N73">
        <f>Table1_1[[#This Row],[Quantity]]*Table1_1[[#This Row],[Unit Price]]</f>
        <v>6110</v>
      </c>
      <c r="O73">
        <f>Table1_1[[#This Row],[TOTAL SALES]]*Table1_1[[#This Row],[Discount %]]/100</f>
        <v>305.5</v>
      </c>
      <c r="P73">
        <f>Table1_1[[#This Row],[TOTAL SALES]]-Table1_1[[#This Row],[DIS AMOUNT]]</f>
        <v>5804.5</v>
      </c>
    </row>
    <row r="74" spans="1:16" x14ac:dyDescent="0.35">
      <c r="A74">
        <v>1074</v>
      </c>
      <c r="B74" s="2">
        <v>46180</v>
      </c>
      <c r="C74" t="s">
        <v>113</v>
      </c>
      <c r="D74" t="s">
        <v>149</v>
      </c>
      <c r="E74" t="s">
        <v>15</v>
      </c>
      <c r="F74" t="s">
        <v>16</v>
      </c>
      <c r="G74" t="s">
        <v>46</v>
      </c>
      <c r="H74">
        <v>5</v>
      </c>
      <c r="I74">
        <v>993</v>
      </c>
      <c r="J74">
        <v>5</v>
      </c>
      <c r="K74" t="s">
        <v>142</v>
      </c>
      <c r="L74" t="s">
        <v>148</v>
      </c>
      <c r="M74" t="s">
        <v>152</v>
      </c>
      <c r="N74">
        <f>Table1_1[[#This Row],[Quantity]]*Table1_1[[#This Row],[Unit Price]]</f>
        <v>4965</v>
      </c>
      <c r="O74">
        <f>Table1_1[[#This Row],[TOTAL SALES]]*Table1_1[[#This Row],[Discount %]]/100</f>
        <v>248.25</v>
      </c>
      <c r="P74">
        <f>Table1_1[[#This Row],[TOTAL SALES]]-Table1_1[[#This Row],[DIS AMOUNT]]</f>
        <v>4716.75</v>
      </c>
    </row>
    <row r="75" spans="1:16" x14ac:dyDescent="0.35">
      <c r="A75">
        <v>1075</v>
      </c>
      <c r="B75" s="2">
        <v>46110</v>
      </c>
      <c r="C75" t="s">
        <v>114</v>
      </c>
      <c r="D75" t="s">
        <v>141</v>
      </c>
      <c r="E75" t="s">
        <v>25</v>
      </c>
      <c r="F75" t="s">
        <v>26</v>
      </c>
      <c r="G75" t="s">
        <v>17</v>
      </c>
      <c r="H75">
        <v>2</v>
      </c>
      <c r="I75">
        <v>4128</v>
      </c>
      <c r="J75">
        <v>0</v>
      </c>
      <c r="K75" t="s">
        <v>142</v>
      </c>
      <c r="L75" t="s">
        <v>148</v>
      </c>
      <c r="M75" t="s">
        <v>153</v>
      </c>
      <c r="N75">
        <f>Table1_1[[#This Row],[Quantity]]*Table1_1[[#This Row],[Unit Price]]</f>
        <v>8256</v>
      </c>
      <c r="O75">
        <f>Table1_1[[#This Row],[TOTAL SALES]]*Table1_1[[#This Row],[Discount %]]/100</f>
        <v>0</v>
      </c>
      <c r="P75">
        <f>Table1_1[[#This Row],[TOTAL SALES]]-Table1_1[[#This Row],[DIS AMOUNT]]</f>
        <v>8256</v>
      </c>
    </row>
    <row r="76" spans="1:16" x14ac:dyDescent="0.35">
      <c r="A76">
        <v>1076</v>
      </c>
      <c r="B76" s="2">
        <v>46193</v>
      </c>
      <c r="C76" t="s">
        <v>115</v>
      </c>
      <c r="D76" t="s">
        <v>147</v>
      </c>
      <c r="E76" t="s">
        <v>15</v>
      </c>
      <c r="F76" t="s">
        <v>16</v>
      </c>
      <c r="G76" t="s">
        <v>46</v>
      </c>
      <c r="H76">
        <v>4</v>
      </c>
      <c r="I76">
        <v>4162</v>
      </c>
      <c r="J76">
        <v>10</v>
      </c>
      <c r="K76" t="s">
        <v>142</v>
      </c>
      <c r="L76" t="s">
        <v>19</v>
      </c>
      <c r="M76" t="s">
        <v>150</v>
      </c>
      <c r="N76">
        <f>Table1_1[[#This Row],[Quantity]]*Table1_1[[#This Row],[Unit Price]]</f>
        <v>16648</v>
      </c>
      <c r="O76">
        <f>Table1_1[[#This Row],[TOTAL SALES]]*Table1_1[[#This Row],[Discount %]]/100</f>
        <v>1664.8</v>
      </c>
      <c r="P76">
        <f>Table1_1[[#This Row],[TOTAL SALES]]-Table1_1[[#This Row],[DIS AMOUNT]]</f>
        <v>14983.2</v>
      </c>
    </row>
    <row r="77" spans="1:16" x14ac:dyDescent="0.35">
      <c r="A77">
        <v>1077</v>
      </c>
      <c r="B77" s="2">
        <v>46095</v>
      </c>
      <c r="C77" t="s">
        <v>116</v>
      </c>
      <c r="D77" t="s">
        <v>144</v>
      </c>
      <c r="E77" t="s">
        <v>15</v>
      </c>
      <c r="F77" t="s">
        <v>45</v>
      </c>
      <c r="G77" t="s">
        <v>27</v>
      </c>
      <c r="H77">
        <v>8</v>
      </c>
      <c r="I77">
        <v>3138</v>
      </c>
      <c r="J77">
        <v>0</v>
      </c>
      <c r="K77" t="s">
        <v>142</v>
      </c>
      <c r="L77" t="s">
        <v>146</v>
      </c>
      <c r="M77" t="s">
        <v>152</v>
      </c>
      <c r="N77">
        <f>Table1_1[[#This Row],[Quantity]]*Table1_1[[#This Row],[Unit Price]]</f>
        <v>25104</v>
      </c>
      <c r="O77">
        <f>Table1_1[[#This Row],[TOTAL SALES]]*Table1_1[[#This Row],[Discount %]]/100</f>
        <v>0</v>
      </c>
      <c r="P77">
        <f>Table1_1[[#This Row],[TOTAL SALES]]-Table1_1[[#This Row],[DIS AMOUNT]]</f>
        <v>25104</v>
      </c>
    </row>
    <row r="78" spans="1:16" x14ac:dyDescent="0.35">
      <c r="A78">
        <v>1078</v>
      </c>
      <c r="B78" s="2">
        <v>46194</v>
      </c>
      <c r="C78" t="s">
        <v>117</v>
      </c>
      <c r="D78" t="s">
        <v>144</v>
      </c>
      <c r="E78" t="s">
        <v>25</v>
      </c>
      <c r="F78" t="s">
        <v>26</v>
      </c>
      <c r="G78" t="s">
        <v>27</v>
      </c>
      <c r="H78">
        <v>3</v>
      </c>
      <c r="I78">
        <v>1393</v>
      </c>
      <c r="J78">
        <v>5</v>
      </c>
      <c r="K78" t="s">
        <v>145</v>
      </c>
      <c r="L78" t="s">
        <v>146</v>
      </c>
      <c r="M78" t="s">
        <v>152</v>
      </c>
      <c r="N78">
        <f>Table1_1[[#This Row],[Quantity]]*Table1_1[[#This Row],[Unit Price]]</f>
        <v>4179</v>
      </c>
      <c r="O78">
        <f>Table1_1[[#This Row],[TOTAL SALES]]*Table1_1[[#This Row],[Discount %]]/100</f>
        <v>208.95</v>
      </c>
      <c r="P78">
        <f>Table1_1[[#This Row],[TOTAL SALES]]-Table1_1[[#This Row],[DIS AMOUNT]]</f>
        <v>3970.05</v>
      </c>
    </row>
    <row r="79" spans="1:16" x14ac:dyDescent="0.35">
      <c r="A79">
        <v>1079</v>
      </c>
      <c r="B79" s="2">
        <v>46073</v>
      </c>
      <c r="C79" t="s">
        <v>118</v>
      </c>
      <c r="D79" t="s">
        <v>141</v>
      </c>
      <c r="E79" t="s">
        <v>25</v>
      </c>
      <c r="F79" t="s">
        <v>26</v>
      </c>
      <c r="G79" t="s">
        <v>46</v>
      </c>
      <c r="H79">
        <v>9</v>
      </c>
      <c r="I79">
        <v>4425</v>
      </c>
      <c r="J79">
        <v>0</v>
      </c>
      <c r="K79" t="s">
        <v>145</v>
      </c>
      <c r="L79" t="s">
        <v>19</v>
      </c>
      <c r="M79" t="s">
        <v>152</v>
      </c>
      <c r="N79">
        <f>Table1_1[[#This Row],[Quantity]]*Table1_1[[#This Row],[Unit Price]]</f>
        <v>39825</v>
      </c>
      <c r="O79">
        <f>Table1_1[[#This Row],[TOTAL SALES]]*Table1_1[[#This Row],[Discount %]]/100</f>
        <v>0</v>
      </c>
      <c r="P79">
        <f>Table1_1[[#This Row],[TOTAL SALES]]-Table1_1[[#This Row],[DIS AMOUNT]]</f>
        <v>39825</v>
      </c>
    </row>
    <row r="80" spans="1:16" x14ac:dyDescent="0.35">
      <c r="A80">
        <v>1080</v>
      </c>
      <c r="B80" s="2">
        <v>46131</v>
      </c>
      <c r="C80" t="s">
        <v>119</v>
      </c>
      <c r="D80" t="s">
        <v>151</v>
      </c>
      <c r="E80" t="s">
        <v>36</v>
      </c>
      <c r="F80" t="s">
        <v>39</v>
      </c>
      <c r="G80" t="s">
        <v>17</v>
      </c>
      <c r="H80">
        <v>4</v>
      </c>
      <c r="I80">
        <v>4656</v>
      </c>
      <c r="J80">
        <v>0</v>
      </c>
      <c r="K80" t="s">
        <v>142</v>
      </c>
      <c r="L80" t="s">
        <v>19</v>
      </c>
      <c r="M80" t="s">
        <v>152</v>
      </c>
      <c r="N80">
        <f>Table1_1[[#This Row],[Quantity]]*Table1_1[[#This Row],[Unit Price]]</f>
        <v>18624</v>
      </c>
      <c r="O80">
        <f>Table1_1[[#This Row],[TOTAL SALES]]*Table1_1[[#This Row],[Discount %]]/100</f>
        <v>0</v>
      </c>
      <c r="P80">
        <f>Table1_1[[#This Row],[TOTAL SALES]]-Table1_1[[#This Row],[DIS AMOUNT]]</f>
        <v>18624</v>
      </c>
    </row>
    <row r="81" spans="1:16" x14ac:dyDescent="0.35">
      <c r="A81">
        <v>1081</v>
      </c>
      <c r="B81" s="2">
        <v>46035</v>
      </c>
      <c r="C81" t="s">
        <v>120</v>
      </c>
      <c r="D81" t="s">
        <v>149</v>
      </c>
      <c r="E81" t="s">
        <v>36</v>
      </c>
      <c r="F81" t="s">
        <v>39</v>
      </c>
      <c r="G81" t="s">
        <v>17</v>
      </c>
      <c r="H81">
        <v>1</v>
      </c>
      <c r="I81">
        <v>1513</v>
      </c>
      <c r="J81">
        <v>0</v>
      </c>
      <c r="K81" t="s">
        <v>142</v>
      </c>
      <c r="L81" t="s">
        <v>146</v>
      </c>
      <c r="M81" t="s">
        <v>143</v>
      </c>
      <c r="N81">
        <f>Table1_1[[#This Row],[Quantity]]*Table1_1[[#This Row],[Unit Price]]</f>
        <v>1513</v>
      </c>
      <c r="O81">
        <f>Table1_1[[#This Row],[TOTAL SALES]]*Table1_1[[#This Row],[Discount %]]/100</f>
        <v>0</v>
      </c>
      <c r="P81">
        <f>Table1_1[[#This Row],[TOTAL SALES]]-Table1_1[[#This Row],[DIS AMOUNT]]</f>
        <v>1513</v>
      </c>
    </row>
    <row r="82" spans="1:16" x14ac:dyDescent="0.35">
      <c r="A82">
        <v>1082</v>
      </c>
      <c r="B82" s="2">
        <v>46111</v>
      </c>
      <c r="C82" t="s">
        <v>121</v>
      </c>
      <c r="D82" t="s">
        <v>147</v>
      </c>
      <c r="E82" t="s">
        <v>25</v>
      </c>
      <c r="F82" t="s">
        <v>26</v>
      </c>
      <c r="G82" t="s">
        <v>17</v>
      </c>
      <c r="H82">
        <v>10</v>
      </c>
      <c r="I82">
        <v>2508</v>
      </c>
      <c r="J82">
        <v>15</v>
      </c>
      <c r="K82" t="s">
        <v>145</v>
      </c>
      <c r="L82" t="s">
        <v>19</v>
      </c>
      <c r="M82" t="s">
        <v>152</v>
      </c>
      <c r="N82">
        <f>Table1_1[[#This Row],[Quantity]]*Table1_1[[#This Row],[Unit Price]]</f>
        <v>25080</v>
      </c>
      <c r="O82">
        <f>Table1_1[[#This Row],[TOTAL SALES]]*Table1_1[[#This Row],[Discount %]]/100</f>
        <v>3762</v>
      </c>
      <c r="P82">
        <f>Table1_1[[#This Row],[TOTAL SALES]]-Table1_1[[#This Row],[DIS AMOUNT]]</f>
        <v>21318</v>
      </c>
    </row>
    <row r="83" spans="1:16" x14ac:dyDescent="0.35">
      <c r="A83">
        <v>1083</v>
      </c>
      <c r="B83" s="2">
        <v>46085</v>
      </c>
      <c r="C83" t="s">
        <v>122</v>
      </c>
      <c r="D83" t="s">
        <v>144</v>
      </c>
      <c r="E83" t="s">
        <v>36</v>
      </c>
      <c r="F83" t="s">
        <v>37</v>
      </c>
      <c r="G83" t="s">
        <v>40</v>
      </c>
      <c r="H83">
        <v>2</v>
      </c>
      <c r="I83">
        <v>2555</v>
      </c>
      <c r="J83">
        <v>0</v>
      </c>
      <c r="K83" t="s">
        <v>142</v>
      </c>
      <c r="L83" t="s">
        <v>19</v>
      </c>
      <c r="M83" t="s">
        <v>153</v>
      </c>
      <c r="N83">
        <f>Table1_1[[#This Row],[Quantity]]*Table1_1[[#This Row],[Unit Price]]</f>
        <v>5110</v>
      </c>
      <c r="O83">
        <f>Table1_1[[#This Row],[TOTAL SALES]]*Table1_1[[#This Row],[Discount %]]/100</f>
        <v>0</v>
      </c>
      <c r="P83">
        <f>Table1_1[[#This Row],[TOTAL SALES]]-Table1_1[[#This Row],[DIS AMOUNT]]</f>
        <v>5110</v>
      </c>
    </row>
    <row r="84" spans="1:16" x14ac:dyDescent="0.35">
      <c r="A84">
        <v>1084</v>
      </c>
      <c r="B84" s="2">
        <v>46078</v>
      </c>
      <c r="C84" t="s">
        <v>123</v>
      </c>
      <c r="D84" t="s">
        <v>151</v>
      </c>
      <c r="E84" t="s">
        <v>36</v>
      </c>
      <c r="F84" t="s">
        <v>37</v>
      </c>
      <c r="G84" t="s">
        <v>27</v>
      </c>
      <c r="H84">
        <v>6</v>
      </c>
      <c r="I84">
        <v>3179</v>
      </c>
      <c r="J84">
        <v>5</v>
      </c>
      <c r="K84" t="s">
        <v>142</v>
      </c>
      <c r="L84" t="s">
        <v>146</v>
      </c>
      <c r="M84" t="s">
        <v>152</v>
      </c>
      <c r="N84">
        <f>Table1_1[[#This Row],[Quantity]]*Table1_1[[#This Row],[Unit Price]]</f>
        <v>19074</v>
      </c>
      <c r="O84">
        <f>Table1_1[[#This Row],[TOTAL SALES]]*Table1_1[[#This Row],[Discount %]]/100</f>
        <v>953.7</v>
      </c>
      <c r="P84">
        <f>Table1_1[[#This Row],[TOTAL SALES]]-Table1_1[[#This Row],[DIS AMOUNT]]</f>
        <v>18120.3</v>
      </c>
    </row>
    <row r="85" spans="1:16" x14ac:dyDescent="0.35">
      <c r="A85">
        <v>1085</v>
      </c>
      <c r="B85" s="2">
        <v>46082</v>
      </c>
      <c r="C85" t="s">
        <v>124</v>
      </c>
      <c r="D85" t="s">
        <v>149</v>
      </c>
      <c r="E85" t="s">
        <v>15</v>
      </c>
      <c r="F85" t="s">
        <v>45</v>
      </c>
      <c r="G85" t="s">
        <v>27</v>
      </c>
      <c r="H85">
        <v>3</v>
      </c>
      <c r="I85">
        <v>2462</v>
      </c>
      <c r="J85">
        <v>5</v>
      </c>
      <c r="K85" t="s">
        <v>142</v>
      </c>
      <c r="L85" t="s">
        <v>148</v>
      </c>
      <c r="M85" t="s">
        <v>150</v>
      </c>
      <c r="N85">
        <f>Table1_1[[#This Row],[Quantity]]*Table1_1[[#This Row],[Unit Price]]</f>
        <v>7386</v>
      </c>
      <c r="O85">
        <f>Table1_1[[#This Row],[TOTAL SALES]]*Table1_1[[#This Row],[Discount %]]/100</f>
        <v>369.3</v>
      </c>
      <c r="P85">
        <f>Table1_1[[#This Row],[TOTAL SALES]]-Table1_1[[#This Row],[DIS AMOUNT]]</f>
        <v>7016.7</v>
      </c>
    </row>
    <row r="86" spans="1:16" x14ac:dyDescent="0.35">
      <c r="A86">
        <v>1086</v>
      </c>
      <c r="B86" s="2">
        <v>46120</v>
      </c>
      <c r="C86" t="s">
        <v>125</v>
      </c>
      <c r="D86" t="s">
        <v>144</v>
      </c>
      <c r="E86" t="s">
        <v>36</v>
      </c>
      <c r="F86" t="s">
        <v>37</v>
      </c>
      <c r="G86" t="s">
        <v>40</v>
      </c>
      <c r="H86">
        <v>2</v>
      </c>
      <c r="I86">
        <v>4560</v>
      </c>
      <c r="J86">
        <v>0</v>
      </c>
      <c r="K86" t="s">
        <v>145</v>
      </c>
      <c r="L86" t="s">
        <v>146</v>
      </c>
      <c r="M86" t="s">
        <v>152</v>
      </c>
      <c r="N86">
        <f>Table1_1[[#This Row],[Quantity]]*Table1_1[[#This Row],[Unit Price]]</f>
        <v>9120</v>
      </c>
      <c r="O86">
        <f>Table1_1[[#This Row],[TOTAL SALES]]*Table1_1[[#This Row],[Discount %]]/100</f>
        <v>0</v>
      </c>
      <c r="P86">
        <f>Table1_1[[#This Row],[TOTAL SALES]]-Table1_1[[#This Row],[DIS AMOUNT]]</f>
        <v>9120</v>
      </c>
    </row>
    <row r="87" spans="1:16" x14ac:dyDescent="0.35">
      <c r="A87">
        <v>1087</v>
      </c>
      <c r="B87" s="2">
        <v>46028</v>
      </c>
      <c r="C87" t="s">
        <v>126</v>
      </c>
      <c r="D87" t="s">
        <v>141</v>
      </c>
      <c r="E87" t="s">
        <v>36</v>
      </c>
      <c r="F87" t="s">
        <v>54</v>
      </c>
      <c r="G87" t="s">
        <v>46</v>
      </c>
      <c r="H87">
        <v>6</v>
      </c>
      <c r="I87">
        <v>3102</v>
      </c>
      <c r="J87">
        <v>5</v>
      </c>
      <c r="K87" t="s">
        <v>142</v>
      </c>
      <c r="L87" t="s">
        <v>146</v>
      </c>
      <c r="M87" t="s">
        <v>152</v>
      </c>
      <c r="N87">
        <f>Table1_1[[#This Row],[Quantity]]*Table1_1[[#This Row],[Unit Price]]</f>
        <v>18612</v>
      </c>
      <c r="O87">
        <f>Table1_1[[#This Row],[TOTAL SALES]]*Table1_1[[#This Row],[Discount %]]/100</f>
        <v>930.6</v>
      </c>
      <c r="P87">
        <f>Table1_1[[#This Row],[TOTAL SALES]]-Table1_1[[#This Row],[DIS AMOUNT]]</f>
        <v>17681.400000000001</v>
      </c>
    </row>
    <row r="88" spans="1:16" x14ac:dyDescent="0.35">
      <c r="A88">
        <v>1088</v>
      </c>
      <c r="B88" s="2">
        <v>46094</v>
      </c>
      <c r="C88" t="s">
        <v>127</v>
      </c>
      <c r="D88" t="s">
        <v>149</v>
      </c>
      <c r="E88" t="s">
        <v>25</v>
      </c>
      <c r="F88" t="s">
        <v>32</v>
      </c>
      <c r="G88" t="s">
        <v>46</v>
      </c>
      <c r="H88">
        <v>2</v>
      </c>
      <c r="I88">
        <v>3298</v>
      </c>
      <c r="J88">
        <v>0</v>
      </c>
      <c r="K88" t="s">
        <v>145</v>
      </c>
      <c r="L88" t="s">
        <v>146</v>
      </c>
      <c r="M88" t="s">
        <v>153</v>
      </c>
      <c r="N88">
        <f>Table1_1[[#This Row],[Quantity]]*Table1_1[[#This Row],[Unit Price]]</f>
        <v>6596</v>
      </c>
      <c r="O88">
        <f>Table1_1[[#This Row],[TOTAL SALES]]*Table1_1[[#This Row],[Discount %]]/100</f>
        <v>0</v>
      </c>
      <c r="P88">
        <f>Table1_1[[#This Row],[TOTAL SALES]]-Table1_1[[#This Row],[DIS AMOUNT]]</f>
        <v>6596</v>
      </c>
    </row>
    <row r="89" spans="1:16" x14ac:dyDescent="0.35">
      <c r="A89">
        <v>1089</v>
      </c>
      <c r="B89" s="2">
        <v>46049</v>
      </c>
      <c r="C89" t="s">
        <v>128</v>
      </c>
      <c r="D89" t="s">
        <v>149</v>
      </c>
      <c r="E89" t="s">
        <v>15</v>
      </c>
      <c r="F89" t="s">
        <v>16</v>
      </c>
      <c r="G89" t="s">
        <v>46</v>
      </c>
      <c r="H89">
        <v>6</v>
      </c>
      <c r="I89">
        <v>2909</v>
      </c>
      <c r="J89">
        <v>15</v>
      </c>
      <c r="K89" t="s">
        <v>145</v>
      </c>
      <c r="L89" t="s">
        <v>19</v>
      </c>
      <c r="M89" t="s">
        <v>143</v>
      </c>
      <c r="N89">
        <f>Table1_1[[#This Row],[Quantity]]*Table1_1[[#This Row],[Unit Price]]</f>
        <v>17454</v>
      </c>
      <c r="O89">
        <f>Table1_1[[#This Row],[TOTAL SALES]]*Table1_1[[#This Row],[Discount %]]/100</f>
        <v>2618.1</v>
      </c>
      <c r="P89">
        <f>Table1_1[[#This Row],[TOTAL SALES]]-Table1_1[[#This Row],[DIS AMOUNT]]</f>
        <v>14835.9</v>
      </c>
    </row>
    <row r="90" spans="1:16" x14ac:dyDescent="0.35">
      <c r="A90">
        <v>1090</v>
      </c>
      <c r="B90" s="2">
        <v>46088</v>
      </c>
      <c r="C90" t="s">
        <v>129</v>
      </c>
      <c r="D90" t="s">
        <v>147</v>
      </c>
      <c r="E90" t="s">
        <v>36</v>
      </c>
      <c r="F90" t="s">
        <v>54</v>
      </c>
      <c r="G90" t="s">
        <v>27</v>
      </c>
      <c r="H90">
        <v>1</v>
      </c>
      <c r="I90">
        <v>1957</v>
      </c>
      <c r="J90">
        <v>10</v>
      </c>
      <c r="K90" t="s">
        <v>142</v>
      </c>
      <c r="L90" t="s">
        <v>19</v>
      </c>
      <c r="M90" t="s">
        <v>150</v>
      </c>
      <c r="N90">
        <f>Table1_1[[#This Row],[Quantity]]*Table1_1[[#This Row],[Unit Price]]</f>
        <v>1957</v>
      </c>
      <c r="O90">
        <f>Table1_1[[#This Row],[TOTAL SALES]]*Table1_1[[#This Row],[Discount %]]/100</f>
        <v>195.7</v>
      </c>
      <c r="P90">
        <f>Table1_1[[#This Row],[TOTAL SALES]]-Table1_1[[#This Row],[DIS AMOUNT]]</f>
        <v>1761.3</v>
      </c>
    </row>
    <row r="91" spans="1:16" x14ac:dyDescent="0.35">
      <c r="A91">
        <v>1091</v>
      </c>
      <c r="B91" s="2">
        <v>46025</v>
      </c>
      <c r="C91" t="s">
        <v>130</v>
      </c>
      <c r="D91" t="s">
        <v>141</v>
      </c>
      <c r="E91" t="s">
        <v>15</v>
      </c>
      <c r="F91" t="s">
        <v>16</v>
      </c>
      <c r="G91" t="s">
        <v>17</v>
      </c>
      <c r="H91">
        <v>2</v>
      </c>
      <c r="I91">
        <v>1703</v>
      </c>
      <c r="J91">
        <v>10</v>
      </c>
      <c r="K91" t="s">
        <v>142</v>
      </c>
      <c r="L91" t="s">
        <v>19</v>
      </c>
      <c r="M91" t="s">
        <v>153</v>
      </c>
      <c r="N91">
        <f>Table1_1[[#This Row],[Quantity]]*Table1_1[[#This Row],[Unit Price]]</f>
        <v>3406</v>
      </c>
      <c r="O91">
        <f>Table1_1[[#This Row],[TOTAL SALES]]*Table1_1[[#This Row],[Discount %]]/100</f>
        <v>340.6</v>
      </c>
      <c r="P91">
        <f>Table1_1[[#This Row],[TOTAL SALES]]-Table1_1[[#This Row],[DIS AMOUNT]]</f>
        <v>3065.4</v>
      </c>
    </row>
    <row r="92" spans="1:16" x14ac:dyDescent="0.35">
      <c r="A92">
        <v>1092</v>
      </c>
      <c r="B92" s="2">
        <v>46142</v>
      </c>
      <c r="C92" t="s">
        <v>131</v>
      </c>
      <c r="D92" t="s">
        <v>141</v>
      </c>
      <c r="E92" t="s">
        <v>15</v>
      </c>
      <c r="F92" t="s">
        <v>16</v>
      </c>
      <c r="G92" t="s">
        <v>46</v>
      </c>
      <c r="H92">
        <v>7</v>
      </c>
      <c r="I92">
        <v>1418</v>
      </c>
      <c r="J92">
        <v>5</v>
      </c>
      <c r="K92" t="s">
        <v>142</v>
      </c>
      <c r="L92" t="s">
        <v>148</v>
      </c>
      <c r="M92" t="s">
        <v>153</v>
      </c>
      <c r="N92">
        <f>Table1_1[[#This Row],[Quantity]]*Table1_1[[#This Row],[Unit Price]]</f>
        <v>9926</v>
      </c>
      <c r="O92">
        <f>Table1_1[[#This Row],[TOTAL SALES]]*Table1_1[[#This Row],[Discount %]]/100</f>
        <v>496.3</v>
      </c>
      <c r="P92">
        <f>Table1_1[[#This Row],[TOTAL SALES]]-Table1_1[[#This Row],[DIS AMOUNT]]</f>
        <v>9429.7000000000007</v>
      </c>
    </row>
    <row r="93" spans="1:16" x14ac:dyDescent="0.35">
      <c r="A93">
        <v>1093</v>
      </c>
      <c r="B93" s="2">
        <v>46122</v>
      </c>
      <c r="C93" t="s">
        <v>132</v>
      </c>
      <c r="D93" t="s">
        <v>149</v>
      </c>
      <c r="E93" t="s">
        <v>15</v>
      </c>
      <c r="F93" t="s">
        <v>45</v>
      </c>
      <c r="G93" t="s">
        <v>17</v>
      </c>
      <c r="H93">
        <v>5</v>
      </c>
      <c r="I93">
        <v>4271</v>
      </c>
      <c r="J93">
        <v>0</v>
      </c>
      <c r="K93" t="s">
        <v>142</v>
      </c>
      <c r="L93" t="s">
        <v>146</v>
      </c>
      <c r="M93" t="s">
        <v>150</v>
      </c>
      <c r="N93">
        <f>Table1_1[[#This Row],[Quantity]]*Table1_1[[#This Row],[Unit Price]]</f>
        <v>21355</v>
      </c>
      <c r="O93">
        <f>Table1_1[[#This Row],[TOTAL SALES]]*Table1_1[[#This Row],[Discount %]]/100</f>
        <v>0</v>
      </c>
      <c r="P93">
        <f>Table1_1[[#This Row],[TOTAL SALES]]-Table1_1[[#This Row],[DIS AMOUNT]]</f>
        <v>21355</v>
      </c>
    </row>
    <row r="94" spans="1:16" x14ac:dyDescent="0.35">
      <c r="A94">
        <v>1094</v>
      </c>
      <c r="B94" s="2">
        <v>46148</v>
      </c>
      <c r="C94" t="s">
        <v>133</v>
      </c>
      <c r="D94" t="s">
        <v>149</v>
      </c>
      <c r="E94" t="s">
        <v>36</v>
      </c>
      <c r="F94" t="s">
        <v>37</v>
      </c>
      <c r="G94" t="s">
        <v>17</v>
      </c>
      <c r="H94">
        <v>1</v>
      </c>
      <c r="I94">
        <v>666</v>
      </c>
      <c r="J94">
        <v>15</v>
      </c>
      <c r="K94" t="s">
        <v>142</v>
      </c>
      <c r="L94" t="s">
        <v>146</v>
      </c>
      <c r="M94" t="s">
        <v>143</v>
      </c>
      <c r="N94">
        <f>Table1_1[[#This Row],[Quantity]]*Table1_1[[#This Row],[Unit Price]]</f>
        <v>666</v>
      </c>
      <c r="O94">
        <f>Table1_1[[#This Row],[TOTAL SALES]]*Table1_1[[#This Row],[Discount %]]/100</f>
        <v>99.9</v>
      </c>
      <c r="P94">
        <f>Table1_1[[#This Row],[TOTAL SALES]]-Table1_1[[#This Row],[DIS AMOUNT]]</f>
        <v>566.1</v>
      </c>
    </row>
    <row r="95" spans="1:16" x14ac:dyDescent="0.35">
      <c r="A95">
        <v>1095</v>
      </c>
      <c r="B95" s="2">
        <v>46124</v>
      </c>
      <c r="C95" t="s">
        <v>134</v>
      </c>
      <c r="D95" t="s">
        <v>141</v>
      </c>
      <c r="E95" t="s">
        <v>25</v>
      </c>
      <c r="F95" t="s">
        <v>26</v>
      </c>
      <c r="G95" t="s">
        <v>46</v>
      </c>
      <c r="H95">
        <v>6</v>
      </c>
      <c r="I95">
        <v>2059</v>
      </c>
      <c r="J95">
        <v>5</v>
      </c>
      <c r="K95" t="s">
        <v>145</v>
      </c>
      <c r="L95" t="s">
        <v>146</v>
      </c>
      <c r="M95" t="s">
        <v>143</v>
      </c>
      <c r="N95">
        <f>Table1_1[[#This Row],[Quantity]]*Table1_1[[#This Row],[Unit Price]]</f>
        <v>12354</v>
      </c>
      <c r="O95">
        <f>Table1_1[[#This Row],[TOTAL SALES]]*Table1_1[[#This Row],[Discount %]]/100</f>
        <v>617.70000000000005</v>
      </c>
      <c r="P95">
        <f>Table1_1[[#This Row],[TOTAL SALES]]-Table1_1[[#This Row],[DIS AMOUNT]]</f>
        <v>11736.3</v>
      </c>
    </row>
    <row r="96" spans="1:16" x14ac:dyDescent="0.35">
      <c r="A96">
        <v>1096</v>
      </c>
      <c r="B96" s="2">
        <v>46138</v>
      </c>
      <c r="C96" t="s">
        <v>135</v>
      </c>
      <c r="D96" t="s">
        <v>151</v>
      </c>
      <c r="E96" t="s">
        <v>15</v>
      </c>
      <c r="F96" t="s">
        <v>16</v>
      </c>
      <c r="G96" t="s">
        <v>17</v>
      </c>
      <c r="H96">
        <v>4</v>
      </c>
      <c r="I96">
        <v>1564</v>
      </c>
      <c r="J96">
        <v>0</v>
      </c>
      <c r="K96" t="s">
        <v>145</v>
      </c>
      <c r="L96" t="s">
        <v>148</v>
      </c>
      <c r="M96" t="s">
        <v>150</v>
      </c>
      <c r="N96">
        <f>Table1_1[[#This Row],[Quantity]]*Table1_1[[#This Row],[Unit Price]]</f>
        <v>6256</v>
      </c>
      <c r="O96">
        <f>Table1_1[[#This Row],[TOTAL SALES]]*Table1_1[[#This Row],[Discount %]]/100</f>
        <v>0</v>
      </c>
      <c r="P96">
        <f>Table1_1[[#This Row],[TOTAL SALES]]-Table1_1[[#This Row],[DIS AMOUNT]]</f>
        <v>6256</v>
      </c>
    </row>
    <row r="97" spans="1:16" x14ac:dyDescent="0.35">
      <c r="A97">
        <v>1097</v>
      </c>
      <c r="B97" s="2">
        <v>46166</v>
      </c>
      <c r="C97" t="s">
        <v>136</v>
      </c>
      <c r="D97" t="s">
        <v>141</v>
      </c>
      <c r="E97" t="s">
        <v>15</v>
      </c>
      <c r="F97" t="s">
        <v>16</v>
      </c>
      <c r="G97" t="s">
        <v>40</v>
      </c>
      <c r="H97">
        <v>10</v>
      </c>
      <c r="I97">
        <v>1447</v>
      </c>
      <c r="J97">
        <v>5</v>
      </c>
      <c r="K97" t="s">
        <v>145</v>
      </c>
      <c r="L97" t="s">
        <v>148</v>
      </c>
      <c r="M97" t="s">
        <v>143</v>
      </c>
      <c r="N97">
        <f>Table1_1[[#This Row],[Quantity]]*Table1_1[[#This Row],[Unit Price]]</f>
        <v>14470</v>
      </c>
      <c r="O97">
        <f>Table1_1[[#This Row],[TOTAL SALES]]*Table1_1[[#This Row],[Discount %]]/100</f>
        <v>723.5</v>
      </c>
      <c r="P97">
        <f>Table1_1[[#This Row],[TOTAL SALES]]-Table1_1[[#This Row],[DIS AMOUNT]]</f>
        <v>13746.5</v>
      </c>
    </row>
    <row r="98" spans="1:16" x14ac:dyDescent="0.35">
      <c r="A98">
        <v>1098</v>
      </c>
      <c r="B98" s="2">
        <v>46094</v>
      </c>
      <c r="C98" t="s">
        <v>137</v>
      </c>
      <c r="D98" t="s">
        <v>147</v>
      </c>
      <c r="E98" t="s">
        <v>15</v>
      </c>
      <c r="F98" t="s">
        <v>45</v>
      </c>
      <c r="G98" t="s">
        <v>40</v>
      </c>
      <c r="H98">
        <v>7</v>
      </c>
      <c r="I98">
        <v>3739</v>
      </c>
      <c r="J98">
        <v>0</v>
      </c>
      <c r="K98" t="s">
        <v>142</v>
      </c>
      <c r="L98" t="s">
        <v>146</v>
      </c>
      <c r="M98" t="s">
        <v>143</v>
      </c>
      <c r="N98">
        <f>Table1_1[[#This Row],[Quantity]]*Table1_1[[#This Row],[Unit Price]]</f>
        <v>26173</v>
      </c>
      <c r="O98">
        <f>Table1_1[[#This Row],[TOTAL SALES]]*Table1_1[[#This Row],[Discount %]]/100</f>
        <v>0</v>
      </c>
      <c r="P98">
        <f>Table1_1[[#This Row],[TOTAL SALES]]-Table1_1[[#This Row],[DIS AMOUNT]]</f>
        <v>26173</v>
      </c>
    </row>
    <row r="99" spans="1:16" x14ac:dyDescent="0.35">
      <c r="A99">
        <v>1099</v>
      </c>
      <c r="B99" s="2">
        <v>46072</v>
      </c>
      <c r="C99" t="s">
        <v>138</v>
      </c>
      <c r="D99" t="s">
        <v>147</v>
      </c>
      <c r="E99" t="s">
        <v>25</v>
      </c>
      <c r="F99" t="s">
        <v>26</v>
      </c>
      <c r="G99" t="s">
        <v>46</v>
      </c>
      <c r="H99">
        <v>1</v>
      </c>
      <c r="I99">
        <v>4096</v>
      </c>
      <c r="J99">
        <v>10</v>
      </c>
      <c r="K99" t="s">
        <v>142</v>
      </c>
      <c r="L99" t="s">
        <v>146</v>
      </c>
      <c r="M99" t="s">
        <v>152</v>
      </c>
      <c r="N99">
        <f>Table1_1[[#This Row],[Quantity]]*Table1_1[[#This Row],[Unit Price]]</f>
        <v>4096</v>
      </c>
      <c r="O99">
        <f>Table1_1[[#This Row],[TOTAL SALES]]*Table1_1[[#This Row],[Discount %]]/100</f>
        <v>409.6</v>
      </c>
      <c r="P99">
        <f>Table1_1[[#This Row],[TOTAL SALES]]-Table1_1[[#This Row],[DIS AMOUNT]]</f>
        <v>3686.4</v>
      </c>
    </row>
    <row r="100" spans="1:16" x14ac:dyDescent="0.35">
      <c r="A100">
        <v>1100</v>
      </c>
      <c r="B100" s="2">
        <v>46059</v>
      </c>
      <c r="C100" t="s">
        <v>139</v>
      </c>
      <c r="D100" t="s">
        <v>141</v>
      </c>
      <c r="E100" t="s">
        <v>25</v>
      </c>
      <c r="F100" t="s">
        <v>26</v>
      </c>
      <c r="G100" t="s">
        <v>40</v>
      </c>
      <c r="H100">
        <v>8</v>
      </c>
      <c r="I100">
        <v>3693</v>
      </c>
      <c r="J100">
        <v>10</v>
      </c>
      <c r="K100" t="s">
        <v>145</v>
      </c>
      <c r="L100" t="s">
        <v>19</v>
      </c>
      <c r="M100" t="s">
        <v>150</v>
      </c>
      <c r="N100">
        <f>Table1_1[[#This Row],[Quantity]]*Table1_1[[#This Row],[Unit Price]]</f>
        <v>29544</v>
      </c>
      <c r="O100">
        <f>Table1_1[[#This Row],[TOTAL SALES]]*Table1_1[[#This Row],[Discount %]]/100</f>
        <v>2954.4</v>
      </c>
      <c r="P100">
        <f>Table1_1[[#This Row],[TOTAL SALES]]-Table1_1[[#This Row],[DIS AMOUNT]]</f>
        <v>26589.599999999999</v>
      </c>
    </row>
    <row r="101" spans="1:16" x14ac:dyDescent="0.35">
      <c r="A101">
        <v>1101</v>
      </c>
      <c r="B101" s="2">
        <v>46151</v>
      </c>
      <c r="C101" t="s">
        <v>140</v>
      </c>
      <c r="D101" t="s">
        <v>147</v>
      </c>
      <c r="E101" t="s">
        <v>15</v>
      </c>
      <c r="F101" t="s">
        <v>16</v>
      </c>
      <c r="G101" t="s">
        <v>40</v>
      </c>
      <c r="H101">
        <v>1</v>
      </c>
      <c r="I101">
        <v>3604</v>
      </c>
      <c r="J101">
        <v>10</v>
      </c>
      <c r="K101" t="s">
        <v>142</v>
      </c>
      <c r="L101" t="s">
        <v>146</v>
      </c>
      <c r="M101" t="s">
        <v>153</v>
      </c>
      <c r="N101">
        <f>Table1_1[[#This Row],[Quantity]]*Table1_1[[#This Row],[Unit Price]]</f>
        <v>3604</v>
      </c>
      <c r="O101">
        <f>Table1_1[[#This Row],[TOTAL SALES]]*Table1_1[[#This Row],[Discount %]]/100</f>
        <v>360.4</v>
      </c>
      <c r="P101">
        <f>Table1_1[[#This Row],[TOTAL SALES]]-Table1_1[[#This Row],[DIS AMOUNT]]</f>
        <v>3243.6</v>
      </c>
    </row>
  </sheetData>
  <pageMargins left="0.7" right="0.7" top="0.75" bottom="0.75" header="0.3" footer="0.3"/>
  <drawing r:id="rId6"/>
  <tableParts count="2"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9FBB3-7892-454D-BE99-12B8080A2251}">
  <dimension ref="A1"/>
  <sheetViews>
    <sheetView showGridLines="0" tabSelected="1" zoomScale="98" zoomScaleNormal="98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workbookViewId="0">
      <selection sqref="A1:M101"/>
    </sheetView>
  </sheetViews>
  <sheetFormatPr defaultRowHeight="14.5" x14ac:dyDescent="0.35"/>
  <cols>
    <col min="1" max="1" width="10" customWidth="1"/>
    <col min="2" max="2" width="12.1796875" customWidth="1"/>
    <col min="3" max="3" width="16.36328125" customWidth="1"/>
    <col min="5" max="5" width="13.08984375" customWidth="1"/>
    <col min="6" max="6" width="9.453125" customWidth="1"/>
    <col min="7" max="7" width="12.81640625" customWidth="1"/>
    <col min="8" max="8" width="10.1796875" customWidth="1"/>
    <col min="9" max="9" width="10.90625" customWidth="1"/>
    <col min="10" max="10" width="12.08984375" customWidth="1"/>
    <col min="12" max="12" width="17.453125" customWidth="1"/>
    <col min="13" max="13" width="10.089843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1002</v>
      </c>
      <c r="B2" s="1">
        <v>46137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6</v>
      </c>
      <c r="I2">
        <v>4924</v>
      </c>
      <c r="J2">
        <v>0</v>
      </c>
      <c r="K2" t="s">
        <v>18</v>
      </c>
      <c r="L2" t="s">
        <v>19</v>
      </c>
      <c r="M2" t="s">
        <v>20</v>
      </c>
    </row>
    <row r="3" spans="1:13" x14ac:dyDescent="0.35">
      <c r="A3">
        <v>1003</v>
      </c>
      <c r="B3" s="1">
        <v>46102</v>
      </c>
      <c r="C3" t="s">
        <v>21</v>
      </c>
      <c r="D3" t="s">
        <v>14</v>
      </c>
      <c r="E3" t="s">
        <v>15</v>
      </c>
      <c r="F3" t="s">
        <v>16</v>
      </c>
      <c r="G3" t="s">
        <v>17</v>
      </c>
      <c r="H3">
        <v>2</v>
      </c>
      <c r="I3">
        <v>3788</v>
      </c>
      <c r="J3">
        <v>15</v>
      </c>
      <c r="K3" t="s">
        <v>22</v>
      </c>
      <c r="L3" t="s">
        <v>19</v>
      </c>
    </row>
    <row r="4" spans="1:13" x14ac:dyDescent="0.35">
      <c r="A4">
        <v>1004</v>
      </c>
      <c r="B4" s="1">
        <v>46196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9</v>
      </c>
      <c r="I4">
        <v>636</v>
      </c>
      <c r="J4">
        <v>5</v>
      </c>
      <c r="K4" t="s">
        <v>28</v>
      </c>
      <c r="L4" t="s">
        <v>29</v>
      </c>
    </row>
    <row r="5" spans="1:13" x14ac:dyDescent="0.35">
      <c r="A5">
        <v>1005</v>
      </c>
      <c r="B5" s="1">
        <v>46101</v>
      </c>
      <c r="C5" t="s">
        <v>30</v>
      </c>
      <c r="D5" t="s">
        <v>31</v>
      </c>
      <c r="E5" t="s">
        <v>25</v>
      </c>
      <c r="F5" t="s">
        <v>32</v>
      </c>
      <c r="G5" t="s">
        <v>27</v>
      </c>
      <c r="H5">
        <v>5</v>
      </c>
      <c r="I5">
        <v>4721</v>
      </c>
      <c r="J5">
        <v>5</v>
      </c>
      <c r="K5" t="s">
        <v>28</v>
      </c>
      <c r="L5" t="s">
        <v>33</v>
      </c>
      <c r="M5" t="s">
        <v>20</v>
      </c>
    </row>
    <row r="6" spans="1:13" x14ac:dyDescent="0.35">
      <c r="A6">
        <v>1006</v>
      </c>
      <c r="B6" s="1">
        <v>46091</v>
      </c>
      <c r="C6" t="s">
        <v>34</v>
      </c>
      <c r="D6" t="s">
        <v>35</v>
      </c>
      <c r="E6" t="s">
        <v>36</v>
      </c>
      <c r="F6" t="s">
        <v>37</v>
      </c>
      <c r="G6" t="s">
        <v>17</v>
      </c>
      <c r="H6">
        <v>5</v>
      </c>
      <c r="I6">
        <v>310</v>
      </c>
      <c r="J6">
        <v>10</v>
      </c>
      <c r="K6" t="s">
        <v>18</v>
      </c>
      <c r="L6" t="s">
        <v>33</v>
      </c>
      <c r="M6" t="s">
        <v>20</v>
      </c>
    </row>
    <row r="7" spans="1:13" x14ac:dyDescent="0.35">
      <c r="A7">
        <v>1007</v>
      </c>
      <c r="B7" s="1">
        <v>46170</v>
      </c>
      <c r="C7" t="s">
        <v>38</v>
      </c>
      <c r="D7" t="s">
        <v>24</v>
      </c>
      <c r="E7" t="s">
        <v>36</v>
      </c>
      <c r="F7" t="s">
        <v>39</v>
      </c>
      <c r="G7" t="s">
        <v>40</v>
      </c>
      <c r="H7">
        <v>4</v>
      </c>
      <c r="I7">
        <v>1365</v>
      </c>
      <c r="J7">
        <v>5</v>
      </c>
      <c r="K7" t="s">
        <v>28</v>
      </c>
      <c r="L7" t="s">
        <v>29</v>
      </c>
      <c r="M7" t="s">
        <v>41</v>
      </c>
    </row>
    <row r="8" spans="1:13" x14ac:dyDescent="0.35">
      <c r="A8">
        <v>1008</v>
      </c>
      <c r="B8" s="1">
        <v>46194</v>
      </c>
      <c r="C8" t="s">
        <v>42</v>
      </c>
      <c r="D8" t="s">
        <v>43</v>
      </c>
      <c r="E8" t="s">
        <v>25</v>
      </c>
      <c r="F8" t="s">
        <v>26</v>
      </c>
      <c r="G8" t="s">
        <v>40</v>
      </c>
      <c r="H8">
        <v>4</v>
      </c>
      <c r="I8">
        <v>3367</v>
      </c>
      <c r="J8">
        <v>5</v>
      </c>
      <c r="K8" t="s">
        <v>22</v>
      </c>
      <c r="L8" t="s">
        <v>29</v>
      </c>
      <c r="M8" t="s">
        <v>20</v>
      </c>
    </row>
    <row r="9" spans="1:13" x14ac:dyDescent="0.35">
      <c r="A9">
        <v>1009</v>
      </c>
      <c r="B9" s="1">
        <v>46080</v>
      </c>
      <c r="C9" t="s">
        <v>44</v>
      </c>
      <c r="D9" t="s">
        <v>24</v>
      </c>
      <c r="E9" t="s">
        <v>15</v>
      </c>
      <c r="F9" t="s">
        <v>45</v>
      </c>
      <c r="G9" t="s">
        <v>46</v>
      </c>
      <c r="H9">
        <v>7</v>
      </c>
      <c r="I9">
        <v>635</v>
      </c>
      <c r="J9">
        <v>10</v>
      </c>
      <c r="K9" t="s">
        <v>28</v>
      </c>
      <c r="L9" t="s">
        <v>33</v>
      </c>
      <c r="M9" t="s">
        <v>20</v>
      </c>
    </row>
    <row r="10" spans="1:13" x14ac:dyDescent="0.35">
      <c r="A10">
        <v>1010</v>
      </c>
      <c r="B10" s="1">
        <v>46075</v>
      </c>
      <c r="C10" t="s">
        <v>47</v>
      </c>
      <c r="D10" t="s">
        <v>43</v>
      </c>
      <c r="E10" t="s">
        <v>15</v>
      </c>
      <c r="F10" t="s">
        <v>45</v>
      </c>
      <c r="G10" t="s">
        <v>40</v>
      </c>
      <c r="H10">
        <v>2</v>
      </c>
      <c r="I10">
        <v>931</v>
      </c>
      <c r="J10">
        <v>10</v>
      </c>
      <c r="K10" t="s">
        <v>28</v>
      </c>
      <c r="L10" t="s">
        <v>33</v>
      </c>
      <c r="M10" t="s">
        <v>48</v>
      </c>
    </row>
    <row r="11" spans="1:13" x14ac:dyDescent="0.35">
      <c r="A11">
        <v>1011</v>
      </c>
      <c r="B11" s="1">
        <v>46067</v>
      </c>
      <c r="C11" t="s">
        <v>49</v>
      </c>
      <c r="D11" t="s">
        <v>14</v>
      </c>
      <c r="E11" t="s">
        <v>15</v>
      </c>
      <c r="F11" t="s">
        <v>16</v>
      </c>
      <c r="G11" t="s">
        <v>40</v>
      </c>
      <c r="H11">
        <v>2</v>
      </c>
      <c r="I11">
        <v>1634</v>
      </c>
      <c r="J11">
        <v>15</v>
      </c>
      <c r="K11" t="s">
        <v>28</v>
      </c>
      <c r="L11" t="s">
        <v>29</v>
      </c>
    </row>
    <row r="12" spans="1:13" x14ac:dyDescent="0.35">
      <c r="A12">
        <v>1012</v>
      </c>
      <c r="B12" s="1">
        <v>46076</v>
      </c>
      <c r="C12" t="s">
        <v>50</v>
      </c>
      <c r="D12" t="s">
        <v>24</v>
      </c>
      <c r="E12" t="s">
        <v>25</v>
      </c>
      <c r="F12" t="s">
        <v>32</v>
      </c>
      <c r="G12" t="s">
        <v>46</v>
      </c>
      <c r="H12">
        <v>7</v>
      </c>
      <c r="I12">
        <v>4252</v>
      </c>
      <c r="J12">
        <v>15</v>
      </c>
      <c r="K12" t="s">
        <v>28</v>
      </c>
      <c r="L12" t="s">
        <v>19</v>
      </c>
    </row>
    <row r="13" spans="1:13" x14ac:dyDescent="0.35">
      <c r="A13">
        <v>1013</v>
      </c>
      <c r="B13" s="1">
        <v>46189</v>
      </c>
      <c r="C13" t="s">
        <v>51</v>
      </c>
      <c r="D13" t="s">
        <v>24</v>
      </c>
      <c r="E13" t="s">
        <v>15</v>
      </c>
      <c r="F13" t="s">
        <v>16</v>
      </c>
      <c r="G13" t="s">
        <v>17</v>
      </c>
      <c r="H13">
        <v>2</v>
      </c>
      <c r="I13">
        <v>2374</v>
      </c>
      <c r="J13">
        <v>10</v>
      </c>
      <c r="K13" t="s">
        <v>22</v>
      </c>
      <c r="L13" t="s">
        <v>33</v>
      </c>
    </row>
    <row r="14" spans="1:13" x14ac:dyDescent="0.35">
      <c r="A14">
        <v>1014</v>
      </c>
      <c r="B14" s="1">
        <v>46193</v>
      </c>
      <c r="C14" t="s">
        <v>52</v>
      </c>
      <c r="D14" t="s">
        <v>43</v>
      </c>
      <c r="E14" t="s">
        <v>15</v>
      </c>
      <c r="F14" t="s">
        <v>16</v>
      </c>
      <c r="G14" t="s">
        <v>17</v>
      </c>
      <c r="H14">
        <v>5</v>
      </c>
      <c r="I14">
        <v>1612</v>
      </c>
      <c r="J14">
        <v>5</v>
      </c>
      <c r="K14" t="s">
        <v>28</v>
      </c>
      <c r="L14" t="s">
        <v>29</v>
      </c>
      <c r="M14" t="s">
        <v>41</v>
      </c>
    </row>
    <row r="15" spans="1:13" x14ac:dyDescent="0.35">
      <c r="A15">
        <v>1015</v>
      </c>
      <c r="B15" s="1">
        <v>46182</v>
      </c>
      <c r="C15" t="s">
        <v>53</v>
      </c>
      <c r="D15" t="s">
        <v>24</v>
      </c>
      <c r="E15" t="s">
        <v>36</v>
      </c>
      <c r="F15" t="s">
        <v>54</v>
      </c>
      <c r="G15" t="s">
        <v>46</v>
      </c>
      <c r="H15">
        <v>10</v>
      </c>
      <c r="I15">
        <v>1044</v>
      </c>
      <c r="J15">
        <v>15</v>
      </c>
      <c r="K15" t="s">
        <v>22</v>
      </c>
      <c r="L15" t="s">
        <v>29</v>
      </c>
      <c r="M15" t="s">
        <v>20</v>
      </c>
    </row>
    <row r="16" spans="1:13" x14ac:dyDescent="0.35">
      <c r="A16">
        <v>1016</v>
      </c>
      <c r="B16" s="1">
        <v>46113</v>
      </c>
      <c r="C16" t="s">
        <v>55</v>
      </c>
      <c r="D16" t="s">
        <v>43</v>
      </c>
      <c r="E16" t="s">
        <v>36</v>
      </c>
      <c r="F16" t="s">
        <v>54</v>
      </c>
      <c r="G16" t="s">
        <v>46</v>
      </c>
      <c r="H16">
        <v>9</v>
      </c>
      <c r="I16">
        <v>3043</v>
      </c>
      <c r="J16">
        <v>10</v>
      </c>
      <c r="K16" t="s">
        <v>28</v>
      </c>
      <c r="L16" t="s">
        <v>33</v>
      </c>
    </row>
    <row r="17" spans="1:13" x14ac:dyDescent="0.35">
      <c r="A17">
        <v>1017</v>
      </c>
      <c r="B17" s="1">
        <v>46197</v>
      </c>
      <c r="C17" t="s">
        <v>56</v>
      </c>
      <c r="D17" t="s">
        <v>14</v>
      </c>
      <c r="E17" t="s">
        <v>15</v>
      </c>
      <c r="F17" t="s">
        <v>16</v>
      </c>
      <c r="G17" t="s">
        <v>17</v>
      </c>
      <c r="H17">
        <v>1</v>
      </c>
      <c r="I17">
        <v>319</v>
      </c>
      <c r="J17">
        <v>5</v>
      </c>
      <c r="K17" t="s">
        <v>28</v>
      </c>
      <c r="L17" t="s">
        <v>33</v>
      </c>
      <c r="M17" t="s">
        <v>41</v>
      </c>
    </row>
    <row r="18" spans="1:13" x14ac:dyDescent="0.35">
      <c r="A18">
        <v>1018</v>
      </c>
      <c r="B18" s="1">
        <v>46063</v>
      </c>
      <c r="C18" t="s">
        <v>57</v>
      </c>
      <c r="D18" t="s">
        <v>14</v>
      </c>
      <c r="E18" t="s">
        <v>15</v>
      </c>
      <c r="F18" t="s">
        <v>16</v>
      </c>
      <c r="G18" t="s">
        <v>46</v>
      </c>
      <c r="H18">
        <v>8</v>
      </c>
      <c r="I18">
        <v>4177</v>
      </c>
      <c r="J18">
        <v>0</v>
      </c>
      <c r="K18" t="s">
        <v>18</v>
      </c>
      <c r="L18" t="s">
        <v>19</v>
      </c>
      <c r="M18" t="s">
        <v>41</v>
      </c>
    </row>
    <row r="19" spans="1:13" x14ac:dyDescent="0.35">
      <c r="A19">
        <v>1019</v>
      </c>
      <c r="B19" s="1">
        <v>46099</v>
      </c>
      <c r="C19" t="s">
        <v>58</v>
      </c>
      <c r="D19" t="s">
        <v>24</v>
      </c>
      <c r="E19" t="s">
        <v>25</v>
      </c>
      <c r="F19" t="s">
        <v>26</v>
      </c>
      <c r="G19" t="s">
        <v>46</v>
      </c>
      <c r="H19">
        <v>4</v>
      </c>
      <c r="I19">
        <v>3996</v>
      </c>
      <c r="J19">
        <v>5</v>
      </c>
      <c r="K19" t="s">
        <v>28</v>
      </c>
      <c r="L19" t="s">
        <v>29</v>
      </c>
      <c r="M19" t="s">
        <v>41</v>
      </c>
    </row>
    <row r="20" spans="1:13" x14ac:dyDescent="0.35">
      <c r="A20">
        <v>1020</v>
      </c>
      <c r="B20" s="1">
        <v>46126</v>
      </c>
      <c r="C20" t="s">
        <v>59</v>
      </c>
      <c r="D20" t="s">
        <v>14</v>
      </c>
      <c r="E20" t="s">
        <v>36</v>
      </c>
      <c r="F20" t="s">
        <v>54</v>
      </c>
      <c r="G20" t="s">
        <v>17</v>
      </c>
      <c r="H20">
        <v>5</v>
      </c>
      <c r="I20">
        <v>1889</v>
      </c>
      <c r="J20">
        <v>10</v>
      </c>
      <c r="K20" t="s">
        <v>22</v>
      </c>
      <c r="L20" t="s">
        <v>33</v>
      </c>
      <c r="M20" t="s">
        <v>48</v>
      </c>
    </row>
    <row r="21" spans="1:13" x14ac:dyDescent="0.35">
      <c r="A21">
        <v>1021</v>
      </c>
      <c r="B21" s="1">
        <v>46165</v>
      </c>
      <c r="C21" t="s">
        <v>60</v>
      </c>
      <c r="D21" t="s">
        <v>31</v>
      </c>
      <c r="E21" t="s">
        <v>15</v>
      </c>
      <c r="F21" t="s">
        <v>45</v>
      </c>
      <c r="G21" t="s">
        <v>27</v>
      </c>
      <c r="H21">
        <v>10</v>
      </c>
      <c r="I21">
        <v>1883</v>
      </c>
      <c r="J21">
        <v>0</v>
      </c>
      <c r="K21" t="s">
        <v>18</v>
      </c>
      <c r="L21" t="s">
        <v>33</v>
      </c>
      <c r="M21" t="s">
        <v>41</v>
      </c>
    </row>
    <row r="22" spans="1:13" x14ac:dyDescent="0.35">
      <c r="A22">
        <v>1022</v>
      </c>
      <c r="B22" s="1">
        <v>46081</v>
      </c>
      <c r="C22" t="s">
        <v>61</v>
      </c>
      <c r="D22" t="s">
        <v>14</v>
      </c>
      <c r="E22" t="s">
        <v>25</v>
      </c>
      <c r="F22" t="s">
        <v>26</v>
      </c>
      <c r="G22" t="s">
        <v>27</v>
      </c>
      <c r="H22">
        <v>3</v>
      </c>
      <c r="I22">
        <v>3962</v>
      </c>
      <c r="J22">
        <v>5</v>
      </c>
      <c r="K22" t="s">
        <v>22</v>
      </c>
      <c r="L22" t="s">
        <v>33</v>
      </c>
      <c r="M22" t="s">
        <v>41</v>
      </c>
    </row>
    <row r="23" spans="1:13" x14ac:dyDescent="0.35">
      <c r="A23">
        <v>1023</v>
      </c>
      <c r="B23" s="1">
        <v>46146</v>
      </c>
      <c r="C23" t="s">
        <v>62</v>
      </c>
      <c r="D23" t="s">
        <v>14</v>
      </c>
      <c r="E23" t="s">
        <v>15</v>
      </c>
      <c r="F23" t="s">
        <v>45</v>
      </c>
      <c r="G23" t="s">
        <v>27</v>
      </c>
      <c r="H23">
        <v>2</v>
      </c>
      <c r="I23">
        <v>1153</v>
      </c>
      <c r="J23">
        <v>0</v>
      </c>
      <c r="K23" t="s">
        <v>22</v>
      </c>
      <c r="L23" t="s">
        <v>19</v>
      </c>
      <c r="M23" t="s">
        <v>48</v>
      </c>
    </row>
    <row r="24" spans="1:13" x14ac:dyDescent="0.35">
      <c r="A24">
        <v>1024</v>
      </c>
      <c r="B24" s="1">
        <v>46075</v>
      </c>
      <c r="C24" t="s">
        <v>63</v>
      </c>
      <c r="D24" t="s">
        <v>24</v>
      </c>
      <c r="E24" t="s">
        <v>25</v>
      </c>
      <c r="F24" t="s">
        <v>26</v>
      </c>
      <c r="G24" t="s">
        <v>46</v>
      </c>
      <c r="H24">
        <v>6</v>
      </c>
      <c r="I24">
        <v>2809</v>
      </c>
      <c r="J24">
        <v>5</v>
      </c>
      <c r="K24" t="s">
        <v>28</v>
      </c>
      <c r="L24" t="s">
        <v>19</v>
      </c>
      <c r="M24" t="s">
        <v>20</v>
      </c>
    </row>
    <row r="25" spans="1:13" x14ac:dyDescent="0.35">
      <c r="A25">
        <v>1025</v>
      </c>
      <c r="B25" s="1">
        <v>46129</v>
      </c>
      <c r="C25" t="s">
        <v>64</v>
      </c>
      <c r="D25" t="s">
        <v>24</v>
      </c>
      <c r="E25" t="s">
        <v>36</v>
      </c>
      <c r="F25" t="s">
        <v>37</v>
      </c>
      <c r="G25" t="s">
        <v>40</v>
      </c>
      <c r="H25">
        <v>4</v>
      </c>
      <c r="I25">
        <v>2307</v>
      </c>
      <c r="J25">
        <v>10</v>
      </c>
      <c r="K25" t="s">
        <v>18</v>
      </c>
      <c r="L25" t="s">
        <v>19</v>
      </c>
      <c r="M25" t="s">
        <v>41</v>
      </c>
    </row>
    <row r="26" spans="1:13" x14ac:dyDescent="0.35">
      <c r="A26">
        <v>1026</v>
      </c>
      <c r="B26" s="1">
        <v>46030</v>
      </c>
      <c r="C26" t="s">
        <v>65</v>
      </c>
      <c r="D26" t="s">
        <v>24</v>
      </c>
      <c r="E26" t="s">
        <v>25</v>
      </c>
      <c r="F26" t="s">
        <v>32</v>
      </c>
      <c r="G26" t="s">
        <v>17</v>
      </c>
      <c r="H26">
        <v>2</v>
      </c>
      <c r="I26">
        <v>1874</v>
      </c>
      <c r="J26">
        <v>0</v>
      </c>
      <c r="K26" t="s">
        <v>22</v>
      </c>
      <c r="L26" t="s">
        <v>29</v>
      </c>
    </row>
    <row r="27" spans="1:13" x14ac:dyDescent="0.35">
      <c r="A27">
        <v>1027</v>
      </c>
      <c r="B27" s="1">
        <v>46075</v>
      </c>
      <c r="C27" t="s">
        <v>66</v>
      </c>
      <c r="D27" t="s">
        <v>35</v>
      </c>
      <c r="E27" t="s">
        <v>15</v>
      </c>
      <c r="F27" t="s">
        <v>16</v>
      </c>
      <c r="G27" t="s">
        <v>17</v>
      </c>
      <c r="H27">
        <v>9</v>
      </c>
      <c r="I27">
        <v>2591</v>
      </c>
      <c r="J27">
        <v>10</v>
      </c>
      <c r="K27" t="s">
        <v>18</v>
      </c>
      <c r="L27" t="s">
        <v>33</v>
      </c>
      <c r="M27" t="s">
        <v>48</v>
      </c>
    </row>
    <row r="28" spans="1:13" x14ac:dyDescent="0.35">
      <c r="A28">
        <v>1028</v>
      </c>
      <c r="B28" s="1">
        <v>46153</v>
      </c>
      <c r="C28" t="s">
        <v>67</v>
      </c>
      <c r="D28" t="s">
        <v>43</v>
      </c>
      <c r="E28" t="s">
        <v>36</v>
      </c>
      <c r="F28" t="s">
        <v>54</v>
      </c>
      <c r="G28" t="s">
        <v>40</v>
      </c>
      <c r="H28">
        <v>10</v>
      </c>
      <c r="I28">
        <v>2973</v>
      </c>
      <c r="J28">
        <v>5</v>
      </c>
      <c r="K28" t="s">
        <v>22</v>
      </c>
      <c r="L28" t="s">
        <v>29</v>
      </c>
      <c r="M28" t="s">
        <v>48</v>
      </c>
    </row>
    <row r="29" spans="1:13" x14ac:dyDescent="0.35">
      <c r="A29">
        <v>1029</v>
      </c>
      <c r="B29" s="1">
        <v>46122</v>
      </c>
      <c r="C29" t="s">
        <v>68</v>
      </c>
      <c r="D29" t="s">
        <v>24</v>
      </c>
      <c r="E29" t="s">
        <v>15</v>
      </c>
      <c r="F29" t="s">
        <v>16</v>
      </c>
      <c r="G29" t="s">
        <v>40</v>
      </c>
      <c r="H29">
        <v>1</v>
      </c>
      <c r="I29">
        <v>1713</v>
      </c>
      <c r="J29">
        <v>0</v>
      </c>
      <c r="K29" t="s">
        <v>28</v>
      </c>
      <c r="L29" t="s">
        <v>29</v>
      </c>
      <c r="M29" t="s">
        <v>20</v>
      </c>
    </row>
    <row r="30" spans="1:13" x14ac:dyDescent="0.35">
      <c r="A30">
        <v>1030</v>
      </c>
      <c r="B30" s="1">
        <v>46163</v>
      </c>
      <c r="C30" t="s">
        <v>69</v>
      </c>
      <c r="D30" t="s">
        <v>24</v>
      </c>
      <c r="E30" t="s">
        <v>25</v>
      </c>
      <c r="F30" t="s">
        <v>32</v>
      </c>
      <c r="G30" t="s">
        <v>46</v>
      </c>
      <c r="H30">
        <v>2</v>
      </c>
      <c r="I30">
        <v>4916</v>
      </c>
      <c r="J30">
        <v>5</v>
      </c>
      <c r="K30" t="s">
        <v>28</v>
      </c>
      <c r="L30" t="s">
        <v>19</v>
      </c>
      <c r="M30" t="s">
        <v>48</v>
      </c>
    </row>
    <row r="31" spans="1:13" x14ac:dyDescent="0.35">
      <c r="A31">
        <v>1031</v>
      </c>
      <c r="B31" s="1">
        <v>46061</v>
      </c>
      <c r="C31" t="s">
        <v>70</v>
      </c>
      <c r="D31" t="s">
        <v>31</v>
      </c>
      <c r="E31" t="s">
        <v>25</v>
      </c>
      <c r="F31" t="s">
        <v>32</v>
      </c>
      <c r="G31" t="s">
        <v>46</v>
      </c>
      <c r="H31">
        <v>7</v>
      </c>
      <c r="I31">
        <v>2683</v>
      </c>
      <c r="J31">
        <v>10</v>
      </c>
      <c r="K31" t="s">
        <v>18</v>
      </c>
      <c r="L31" t="s">
        <v>19</v>
      </c>
    </row>
    <row r="32" spans="1:13" x14ac:dyDescent="0.35">
      <c r="A32">
        <v>1032</v>
      </c>
      <c r="B32" s="1">
        <v>46122</v>
      </c>
      <c r="C32" t="s">
        <v>71</v>
      </c>
      <c r="D32" t="s">
        <v>35</v>
      </c>
      <c r="E32" t="s">
        <v>15</v>
      </c>
      <c r="F32" t="s">
        <v>45</v>
      </c>
      <c r="G32" t="s">
        <v>40</v>
      </c>
      <c r="H32">
        <v>10</v>
      </c>
      <c r="I32">
        <v>4144</v>
      </c>
      <c r="J32">
        <v>15</v>
      </c>
      <c r="K32" t="s">
        <v>22</v>
      </c>
      <c r="L32" t="s">
        <v>33</v>
      </c>
      <c r="M32" t="s">
        <v>41</v>
      </c>
    </row>
    <row r="33" spans="1:13" x14ac:dyDescent="0.35">
      <c r="A33">
        <v>1033</v>
      </c>
      <c r="B33" s="1">
        <v>46133</v>
      </c>
      <c r="C33" t="s">
        <v>72</v>
      </c>
      <c r="D33" t="s">
        <v>35</v>
      </c>
      <c r="E33" t="s">
        <v>36</v>
      </c>
      <c r="F33" t="s">
        <v>39</v>
      </c>
      <c r="G33" t="s">
        <v>27</v>
      </c>
      <c r="H33">
        <v>7</v>
      </c>
      <c r="I33">
        <v>4072</v>
      </c>
      <c r="J33">
        <v>15</v>
      </c>
      <c r="K33" t="s">
        <v>22</v>
      </c>
      <c r="L33" t="s">
        <v>19</v>
      </c>
    </row>
    <row r="34" spans="1:13" x14ac:dyDescent="0.35">
      <c r="A34">
        <v>1034</v>
      </c>
      <c r="B34" s="1">
        <v>46057</v>
      </c>
      <c r="C34" t="s">
        <v>73</v>
      </c>
      <c r="D34" t="s">
        <v>24</v>
      </c>
      <c r="E34" t="s">
        <v>25</v>
      </c>
      <c r="F34" t="s">
        <v>32</v>
      </c>
      <c r="G34" t="s">
        <v>46</v>
      </c>
      <c r="H34">
        <v>9</v>
      </c>
      <c r="I34">
        <v>2346</v>
      </c>
      <c r="J34">
        <v>15</v>
      </c>
      <c r="K34" t="s">
        <v>28</v>
      </c>
      <c r="L34" t="s">
        <v>29</v>
      </c>
      <c r="M34" t="s">
        <v>20</v>
      </c>
    </row>
    <row r="35" spans="1:13" x14ac:dyDescent="0.35">
      <c r="A35">
        <v>1035</v>
      </c>
      <c r="B35" s="1">
        <v>46045</v>
      </c>
      <c r="C35" t="s">
        <v>74</v>
      </c>
      <c r="D35" t="s">
        <v>35</v>
      </c>
      <c r="E35" t="s">
        <v>15</v>
      </c>
      <c r="F35" t="s">
        <v>45</v>
      </c>
      <c r="G35" t="s">
        <v>46</v>
      </c>
      <c r="H35">
        <v>2</v>
      </c>
      <c r="I35">
        <v>546</v>
      </c>
      <c r="J35">
        <v>5</v>
      </c>
      <c r="K35" t="s">
        <v>22</v>
      </c>
      <c r="L35" t="s">
        <v>29</v>
      </c>
      <c r="M35" t="s">
        <v>20</v>
      </c>
    </row>
    <row r="36" spans="1:13" x14ac:dyDescent="0.35">
      <c r="A36">
        <v>1036</v>
      </c>
      <c r="B36" s="1">
        <v>46113</v>
      </c>
      <c r="C36" t="s">
        <v>75</v>
      </c>
      <c r="D36" t="s">
        <v>31</v>
      </c>
      <c r="E36" t="s">
        <v>36</v>
      </c>
      <c r="F36" t="s">
        <v>54</v>
      </c>
      <c r="G36" t="s">
        <v>40</v>
      </c>
      <c r="H36">
        <v>10</v>
      </c>
      <c r="I36">
        <v>705</v>
      </c>
      <c r="J36">
        <v>0</v>
      </c>
      <c r="K36" t="s">
        <v>28</v>
      </c>
      <c r="L36" t="s">
        <v>29</v>
      </c>
      <c r="M36" t="s">
        <v>41</v>
      </c>
    </row>
    <row r="37" spans="1:13" x14ac:dyDescent="0.35">
      <c r="A37">
        <v>1037</v>
      </c>
      <c r="B37" s="1">
        <v>46141</v>
      </c>
      <c r="C37" t="s">
        <v>76</v>
      </c>
      <c r="D37" t="s">
        <v>31</v>
      </c>
      <c r="E37" t="s">
        <v>15</v>
      </c>
      <c r="F37" t="s">
        <v>16</v>
      </c>
      <c r="G37" t="s">
        <v>17</v>
      </c>
      <c r="H37">
        <v>4</v>
      </c>
      <c r="I37">
        <v>2514</v>
      </c>
      <c r="J37">
        <v>0</v>
      </c>
      <c r="K37" t="s">
        <v>28</v>
      </c>
      <c r="L37" t="s">
        <v>19</v>
      </c>
      <c r="M37" t="s">
        <v>48</v>
      </c>
    </row>
    <row r="38" spans="1:13" x14ac:dyDescent="0.35">
      <c r="A38">
        <v>1038</v>
      </c>
      <c r="B38" s="1">
        <v>46182</v>
      </c>
      <c r="C38" t="s">
        <v>77</v>
      </c>
      <c r="D38" t="s">
        <v>43</v>
      </c>
      <c r="E38" t="s">
        <v>36</v>
      </c>
      <c r="F38" t="s">
        <v>54</v>
      </c>
      <c r="G38" t="s">
        <v>27</v>
      </c>
      <c r="H38">
        <v>6</v>
      </c>
      <c r="I38">
        <v>1188</v>
      </c>
      <c r="J38">
        <v>0</v>
      </c>
      <c r="K38" t="s">
        <v>28</v>
      </c>
      <c r="L38" t="s">
        <v>33</v>
      </c>
      <c r="M38" t="s">
        <v>41</v>
      </c>
    </row>
    <row r="39" spans="1:13" x14ac:dyDescent="0.35">
      <c r="A39">
        <v>1039</v>
      </c>
      <c r="B39" s="1">
        <v>46087</v>
      </c>
      <c r="C39" t="s">
        <v>78</v>
      </c>
      <c r="D39" t="s">
        <v>43</v>
      </c>
      <c r="E39" t="s">
        <v>15</v>
      </c>
      <c r="F39" t="s">
        <v>45</v>
      </c>
      <c r="G39" t="s">
        <v>40</v>
      </c>
      <c r="H39">
        <v>6</v>
      </c>
      <c r="I39">
        <v>4718</v>
      </c>
      <c r="J39">
        <v>5</v>
      </c>
      <c r="K39" t="s">
        <v>28</v>
      </c>
      <c r="L39" t="s">
        <v>33</v>
      </c>
      <c r="M39" t="s">
        <v>41</v>
      </c>
    </row>
    <row r="40" spans="1:13" x14ac:dyDescent="0.35">
      <c r="A40">
        <v>1040</v>
      </c>
      <c r="B40" s="1">
        <v>46181</v>
      </c>
      <c r="C40" t="s">
        <v>79</v>
      </c>
      <c r="D40" t="s">
        <v>31</v>
      </c>
      <c r="E40" t="s">
        <v>36</v>
      </c>
      <c r="F40" t="s">
        <v>37</v>
      </c>
      <c r="G40" t="s">
        <v>40</v>
      </c>
      <c r="H40">
        <v>8</v>
      </c>
      <c r="I40">
        <v>565</v>
      </c>
      <c r="J40">
        <v>15</v>
      </c>
      <c r="K40" t="s">
        <v>28</v>
      </c>
      <c r="L40" t="s">
        <v>33</v>
      </c>
      <c r="M40" t="s">
        <v>41</v>
      </c>
    </row>
    <row r="41" spans="1:13" x14ac:dyDescent="0.35">
      <c r="A41">
        <v>1041</v>
      </c>
      <c r="B41" s="1">
        <v>46063</v>
      </c>
      <c r="C41" t="s">
        <v>80</v>
      </c>
      <c r="D41" t="s">
        <v>31</v>
      </c>
      <c r="E41" t="s">
        <v>36</v>
      </c>
      <c r="F41" t="s">
        <v>37</v>
      </c>
      <c r="G41" t="s">
        <v>17</v>
      </c>
      <c r="H41">
        <v>3</v>
      </c>
      <c r="I41">
        <v>4102</v>
      </c>
      <c r="J41">
        <v>5</v>
      </c>
      <c r="K41" t="s">
        <v>28</v>
      </c>
      <c r="L41" t="s">
        <v>19</v>
      </c>
      <c r="M41" t="s">
        <v>20</v>
      </c>
    </row>
    <row r="42" spans="1:13" x14ac:dyDescent="0.35">
      <c r="A42">
        <v>1042</v>
      </c>
      <c r="B42" s="1">
        <v>46052</v>
      </c>
      <c r="C42" t="s">
        <v>81</v>
      </c>
      <c r="D42" t="s">
        <v>24</v>
      </c>
      <c r="E42" t="s">
        <v>15</v>
      </c>
      <c r="F42" t="s">
        <v>45</v>
      </c>
      <c r="G42" t="s">
        <v>17</v>
      </c>
      <c r="H42">
        <v>4</v>
      </c>
      <c r="I42">
        <v>713</v>
      </c>
      <c r="J42">
        <v>15</v>
      </c>
      <c r="K42" t="s">
        <v>22</v>
      </c>
      <c r="L42" t="s">
        <v>19</v>
      </c>
      <c r="M42" t="s">
        <v>48</v>
      </c>
    </row>
    <row r="43" spans="1:13" x14ac:dyDescent="0.35">
      <c r="A43">
        <v>1043</v>
      </c>
      <c r="B43" s="1">
        <v>46156</v>
      </c>
      <c r="C43" t="s">
        <v>82</v>
      </c>
      <c r="D43" t="s">
        <v>14</v>
      </c>
      <c r="E43" t="s">
        <v>15</v>
      </c>
      <c r="F43" t="s">
        <v>45</v>
      </c>
      <c r="G43" t="s">
        <v>27</v>
      </c>
      <c r="H43">
        <v>5</v>
      </c>
      <c r="I43">
        <v>2283</v>
      </c>
      <c r="J43">
        <v>15</v>
      </c>
      <c r="K43" t="s">
        <v>28</v>
      </c>
      <c r="L43" t="s">
        <v>29</v>
      </c>
      <c r="M43" t="s">
        <v>41</v>
      </c>
    </row>
    <row r="44" spans="1:13" x14ac:dyDescent="0.35">
      <c r="A44">
        <v>1044</v>
      </c>
      <c r="B44" s="1">
        <v>46078</v>
      </c>
      <c r="C44" t="s">
        <v>83</v>
      </c>
      <c r="D44" t="s">
        <v>14</v>
      </c>
      <c r="E44" t="s">
        <v>36</v>
      </c>
      <c r="F44" t="s">
        <v>39</v>
      </c>
      <c r="G44" t="s">
        <v>46</v>
      </c>
      <c r="H44">
        <v>8</v>
      </c>
      <c r="I44">
        <v>1957</v>
      </c>
      <c r="J44">
        <v>10</v>
      </c>
      <c r="K44" t="s">
        <v>28</v>
      </c>
      <c r="L44" t="s">
        <v>19</v>
      </c>
      <c r="M44" t="s">
        <v>20</v>
      </c>
    </row>
    <row r="45" spans="1:13" x14ac:dyDescent="0.35">
      <c r="A45">
        <v>1045</v>
      </c>
      <c r="B45" s="1">
        <v>46046</v>
      </c>
      <c r="C45" t="s">
        <v>84</v>
      </c>
      <c r="D45" t="s">
        <v>43</v>
      </c>
      <c r="E45" t="s">
        <v>25</v>
      </c>
      <c r="F45" t="s">
        <v>26</v>
      </c>
      <c r="G45" t="s">
        <v>46</v>
      </c>
      <c r="H45">
        <v>10</v>
      </c>
      <c r="I45">
        <v>2544</v>
      </c>
      <c r="J45">
        <v>5</v>
      </c>
      <c r="K45" t="s">
        <v>28</v>
      </c>
      <c r="L45" t="s">
        <v>19</v>
      </c>
    </row>
    <row r="46" spans="1:13" x14ac:dyDescent="0.35">
      <c r="A46">
        <v>1046</v>
      </c>
      <c r="B46" s="1">
        <v>46180</v>
      </c>
      <c r="C46" t="s">
        <v>85</v>
      </c>
      <c r="D46" t="s">
        <v>31</v>
      </c>
      <c r="E46" t="s">
        <v>25</v>
      </c>
      <c r="F46" t="s">
        <v>26</v>
      </c>
      <c r="G46" t="s">
        <v>40</v>
      </c>
      <c r="H46">
        <v>1</v>
      </c>
      <c r="I46">
        <v>353</v>
      </c>
      <c r="J46">
        <v>15</v>
      </c>
      <c r="K46" t="s">
        <v>28</v>
      </c>
      <c r="L46" t="s">
        <v>29</v>
      </c>
      <c r="M46" t="s">
        <v>41</v>
      </c>
    </row>
    <row r="47" spans="1:13" x14ac:dyDescent="0.35">
      <c r="A47">
        <v>1047</v>
      </c>
      <c r="B47" s="1">
        <v>46162</v>
      </c>
      <c r="C47" t="s">
        <v>86</v>
      </c>
      <c r="D47" t="s">
        <v>35</v>
      </c>
      <c r="E47" t="s">
        <v>25</v>
      </c>
      <c r="F47" t="s">
        <v>32</v>
      </c>
      <c r="G47" t="s">
        <v>46</v>
      </c>
      <c r="H47">
        <v>9</v>
      </c>
      <c r="I47">
        <v>4928</v>
      </c>
      <c r="J47">
        <v>0</v>
      </c>
      <c r="K47" t="s">
        <v>18</v>
      </c>
      <c r="L47" t="s">
        <v>19</v>
      </c>
      <c r="M47" t="s">
        <v>41</v>
      </c>
    </row>
    <row r="48" spans="1:13" x14ac:dyDescent="0.35">
      <c r="A48">
        <v>1048</v>
      </c>
      <c r="B48" s="1">
        <v>46078</v>
      </c>
      <c r="C48" t="s">
        <v>87</v>
      </c>
      <c r="D48" t="s">
        <v>31</v>
      </c>
      <c r="E48" t="s">
        <v>15</v>
      </c>
      <c r="F48" t="s">
        <v>16</v>
      </c>
      <c r="G48" t="s">
        <v>46</v>
      </c>
      <c r="H48">
        <v>9</v>
      </c>
      <c r="I48">
        <v>1271</v>
      </c>
      <c r="J48">
        <v>15</v>
      </c>
      <c r="K48" t="s">
        <v>22</v>
      </c>
      <c r="L48" t="s">
        <v>19</v>
      </c>
      <c r="M48" t="s">
        <v>48</v>
      </c>
    </row>
    <row r="49" spans="1:13" x14ac:dyDescent="0.35">
      <c r="A49">
        <v>1049</v>
      </c>
      <c r="B49" s="1">
        <v>46052</v>
      </c>
      <c r="C49" t="s">
        <v>88</v>
      </c>
      <c r="D49" t="s">
        <v>43</v>
      </c>
      <c r="E49" t="s">
        <v>15</v>
      </c>
      <c r="F49" t="s">
        <v>16</v>
      </c>
      <c r="G49" t="s">
        <v>40</v>
      </c>
      <c r="H49">
        <v>6</v>
      </c>
      <c r="I49">
        <v>4683</v>
      </c>
      <c r="J49">
        <v>15</v>
      </c>
      <c r="K49" t="s">
        <v>28</v>
      </c>
      <c r="L49" t="s">
        <v>29</v>
      </c>
    </row>
    <row r="50" spans="1:13" x14ac:dyDescent="0.35">
      <c r="A50">
        <v>1050</v>
      </c>
      <c r="B50" s="1">
        <v>46189</v>
      </c>
      <c r="C50" t="s">
        <v>89</v>
      </c>
      <c r="D50" t="s">
        <v>31</v>
      </c>
      <c r="E50" t="s">
        <v>25</v>
      </c>
      <c r="F50" t="s">
        <v>26</v>
      </c>
      <c r="G50" t="s">
        <v>46</v>
      </c>
      <c r="H50">
        <v>7</v>
      </c>
      <c r="I50">
        <v>2360</v>
      </c>
      <c r="J50">
        <v>10</v>
      </c>
      <c r="K50" t="s">
        <v>22</v>
      </c>
      <c r="L50" t="s">
        <v>29</v>
      </c>
      <c r="M50" t="s">
        <v>48</v>
      </c>
    </row>
    <row r="51" spans="1:13" x14ac:dyDescent="0.35">
      <c r="A51">
        <v>1051</v>
      </c>
      <c r="B51" s="1">
        <v>46054</v>
      </c>
      <c r="C51" t="s">
        <v>90</v>
      </c>
      <c r="D51" t="s">
        <v>43</v>
      </c>
      <c r="E51" t="s">
        <v>25</v>
      </c>
      <c r="F51" t="s">
        <v>26</v>
      </c>
      <c r="G51" t="s">
        <v>46</v>
      </c>
      <c r="H51">
        <v>10</v>
      </c>
      <c r="I51">
        <v>385</v>
      </c>
      <c r="J51">
        <v>0</v>
      </c>
      <c r="K51" t="s">
        <v>28</v>
      </c>
      <c r="L51" t="s">
        <v>29</v>
      </c>
    </row>
    <row r="52" spans="1:13" x14ac:dyDescent="0.35">
      <c r="A52">
        <v>1052</v>
      </c>
      <c r="B52" s="1">
        <v>46110</v>
      </c>
      <c r="C52" t="s">
        <v>91</v>
      </c>
      <c r="D52" t="s">
        <v>43</v>
      </c>
      <c r="E52" t="s">
        <v>25</v>
      </c>
      <c r="F52" t="s">
        <v>26</v>
      </c>
      <c r="G52" t="s">
        <v>17</v>
      </c>
      <c r="H52">
        <v>5</v>
      </c>
      <c r="I52">
        <v>1649</v>
      </c>
      <c r="J52">
        <v>5</v>
      </c>
      <c r="K52" t="s">
        <v>18</v>
      </c>
      <c r="L52" t="s">
        <v>29</v>
      </c>
      <c r="M52" t="s">
        <v>48</v>
      </c>
    </row>
    <row r="53" spans="1:13" x14ac:dyDescent="0.35">
      <c r="A53">
        <v>1053</v>
      </c>
      <c r="B53" s="1">
        <v>46033</v>
      </c>
      <c r="C53" t="s">
        <v>92</v>
      </c>
      <c r="D53" t="s">
        <v>24</v>
      </c>
      <c r="E53" t="s">
        <v>36</v>
      </c>
      <c r="F53" t="s">
        <v>37</v>
      </c>
      <c r="G53" t="s">
        <v>17</v>
      </c>
      <c r="H53">
        <v>7</v>
      </c>
      <c r="I53">
        <v>4810</v>
      </c>
      <c r="J53">
        <v>0</v>
      </c>
      <c r="K53" t="s">
        <v>22</v>
      </c>
      <c r="L53" t="s">
        <v>33</v>
      </c>
      <c r="M53" t="s">
        <v>48</v>
      </c>
    </row>
    <row r="54" spans="1:13" x14ac:dyDescent="0.35">
      <c r="A54">
        <v>1054</v>
      </c>
      <c r="B54" s="1">
        <v>46146</v>
      </c>
      <c r="C54" t="s">
        <v>93</v>
      </c>
      <c r="D54" t="s">
        <v>24</v>
      </c>
      <c r="E54" t="s">
        <v>25</v>
      </c>
      <c r="F54" t="s">
        <v>32</v>
      </c>
      <c r="G54" t="s">
        <v>27</v>
      </c>
      <c r="H54">
        <v>7</v>
      </c>
      <c r="I54">
        <v>1749</v>
      </c>
      <c r="J54">
        <v>15</v>
      </c>
      <c r="K54" t="s">
        <v>18</v>
      </c>
      <c r="L54" t="s">
        <v>19</v>
      </c>
      <c r="M54" t="s">
        <v>48</v>
      </c>
    </row>
    <row r="55" spans="1:13" x14ac:dyDescent="0.35">
      <c r="A55">
        <v>1055</v>
      </c>
      <c r="B55" s="1">
        <v>46203</v>
      </c>
      <c r="C55" t="s">
        <v>94</v>
      </c>
      <c r="D55" t="s">
        <v>43</v>
      </c>
      <c r="E55" t="s">
        <v>15</v>
      </c>
      <c r="F55" t="s">
        <v>16</v>
      </c>
      <c r="G55" t="s">
        <v>46</v>
      </c>
      <c r="H55">
        <v>8</v>
      </c>
      <c r="I55">
        <v>1461</v>
      </c>
      <c r="J55">
        <v>10</v>
      </c>
      <c r="K55" t="s">
        <v>22</v>
      </c>
      <c r="L55" t="s">
        <v>33</v>
      </c>
    </row>
    <row r="56" spans="1:13" x14ac:dyDescent="0.35">
      <c r="A56">
        <v>1056</v>
      </c>
      <c r="B56" s="1">
        <v>46066</v>
      </c>
      <c r="C56" t="s">
        <v>95</v>
      </c>
      <c r="D56" t="s">
        <v>35</v>
      </c>
      <c r="E56" t="s">
        <v>25</v>
      </c>
      <c r="F56" t="s">
        <v>32</v>
      </c>
      <c r="G56" t="s">
        <v>17</v>
      </c>
      <c r="H56">
        <v>1</v>
      </c>
      <c r="I56">
        <v>941</v>
      </c>
      <c r="J56">
        <v>0</v>
      </c>
      <c r="K56" t="s">
        <v>22</v>
      </c>
      <c r="L56" t="s">
        <v>19</v>
      </c>
    </row>
    <row r="57" spans="1:13" x14ac:dyDescent="0.35">
      <c r="A57">
        <v>1057</v>
      </c>
      <c r="B57" s="1">
        <v>46163</v>
      </c>
      <c r="C57" t="s">
        <v>96</v>
      </c>
      <c r="D57" t="s">
        <v>43</v>
      </c>
      <c r="E57" t="s">
        <v>25</v>
      </c>
      <c r="F57" t="s">
        <v>26</v>
      </c>
      <c r="G57" t="s">
        <v>17</v>
      </c>
      <c r="H57">
        <v>3</v>
      </c>
      <c r="I57">
        <v>1245</v>
      </c>
      <c r="J57">
        <v>0</v>
      </c>
      <c r="K57" t="s">
        <v>22</v>
      </c>
      <c r="L57" t="s">
        <v>33</v>
      </c>
    </row>
    <row r="58" spans="1:13" x14ac:dyDescent="0.35">
      <c r="A58">
        <v>1058</v>
      </c>
      <c r="B58" s="1">
        <v>46096</v>
      </c>
      <c r="C58" t="s">
        <v>97</v>
      </c>
      <c r="D58" t="s">
        <v>43</v>
      </c>
      <c r="E58" t="s">
        <v>25</v>
      </c>
      <c r="F58" t="s">
        <v>32</v>
      </c>
      <c r="G58" t="s">
        <v>46</v>
      </c>
      <c r="H58">
        <v>5</v>
      </c>
      <c r="I58">
        <v>3559</v>
      </c>
      <c r="J58">
        <v>5</v>
      </c>
      <c r="K58" t="s">
        <v>28</v>
      </c>
      <c r="L58" t="s">
        <v>33</v>
      </c>
      <c r="M58" t="s">
        <v>20</v>
      </c>
    </row>
    <row r="59" spans="1:13" x14ac:dyDescent="0.35">
      <c r="A59">
        <v>1059</v>
      </c>
      <c r="B59" s="1">
        <v>46081</v>
      </c>
      <c r="C59" t="s">
        <v>98</v>
      </c>
      <c r="D59" t="s">
        <v>24</v>
      </c>
      <c r="E59" t="s">
        <v>15</v>
      </c>
      <c r="F59" t="s">
        <v>16</v>
      </c>
      <c r="G59" t="s">
        <v>46</v>
      </c>
      <c r="H59">
        <v>4</v>
      </c>
      <c r="I59">
        <v>1204</v>
      </c>
      <c r="J59">
        <v>10</v>
      </c>
      <c r="K59" t="s">
        <v>28</v>
      </c>
      <c r="L59" t="s">
        <v>29</v>
      </c>
      <c r="M59" t="s">
        <v>48</v>
      </c>
    </row>
    <row r="60" spans="1:13" x14ac:dyDescent="0.35">
      <c r="A60">
        <v>1060</v>
      </c>
      <c r="B60" s="1">
        <v>46045</v>
      </c>
      <c r="C60" t="s">
        <v>99</v>
      </c>
      <c r="D60" t="s">
        <v>31</v>
      </c>
      <c r="E60" t="s">
        <v>15</v>
      </c>
      <c r="F60" t="s">
        <v>16</v>
      </c>
      <c r="G60" t="s">
        <v>27</v>
      </c>
      <c r="H60">
        <v>10</v>
      </c>
      <c r="I60">
        <v>435</v>
      </c>
      <c r="J60">
        <v>10</v>
      </c>
      <c r="K60" t="s">
        <v>22</v>
      </c>
      <c r="L60" t="s">
        <v>19</v>
      </c>
      <c r="M60" t="s">
        <v>48</v>
      </c>
    </row>
    <row r="61" spans="1:13" x14ac:dyDescent="0.35">
      <c r="A61">
        <v>1061</v>
      </c>
      <c r="B61" s="1">
        <v>46074</v>
      </c>
      <c r="C61" t="s">
        <v>100</v>
      </c>
      <c r="D61" t="s">
        <v>24</v>
      </c>
      <c r="E61" t="s">
        <v>25</v>
      </c>
      <c r="F61" t="s">
        <v>26</v>
      </c>
      <c r="G61" t="s">
        <v>46</v>
      </c>
      <c r="H61">
        <v>4</v>
      </c>
      <c r="I61">
        <v>4428</v>
      </c>
      <c r="J61">
        <v>0</v>
      </c>
      <c r="K61" t="s">
        <v>28</v>
      </c>
      <c r="L61" t="s">
        <v>33</v>
      </c>
    </row>
    <row r="62" spans="1:13" x14ac:dyDescent="0.35">
      <c r="A62">
        <v>1062</v>
      </c>
      <c r="B62" s="1">
        <v>46067</v>
      </c>
      <c r="C62" t="s">
        <v>101</v>
      </c>
      <c r="D62" t="s">
        <v>35</v>
      </c>
      <c r="E62" t="s">
        <v>15</v>
      </c>
      <c r="F62" t="s">
        <v>45</v>
      </c>
      <c r="G62" t="s">
        <v>40</v>
      </c>
      <c r="H62">
        <v>4</v>
      </c>
      <c r="I62">
        <v>2146</v>
      </c>
      <c r="J62">
        <v>5</v>
      </c>
      <c r="K62" t="s">
        <v>28</v>
      </c>
      <c r="L62" t="s">
        <v>33</v>
      </c>
      <c r="M62" t="s">
        <v>48</v>
      </c>
    </row>
    <row r="63" spans="1:13" x14ac:dyDescent="0.35">
      <c r="A63">
        <v>1063</v>
      </c>
      <c r="B63" s="1">
        <v>46092</v>
      </c>
      <c r="C63" t="s">
        <v>102</v>
      </c>
      <c r="D63" t="s">
        <v>24</v>
      </c>
      <c r="E63" t="s">
        <v>36</v>
      </c>
      <c r="F63" t="s">
        <v>37</v>
      </c>
      <c r="G63" t="s">
        <v>27</v>
      </c>
      <c r="H63">
        <v>4</v>
      </c>
      <c r="I63">
        <v>1168</v>
      </c>
      <c r="J63">
        <v>15</v>
      </c>
      <c r="K63" t="s">
        <v>28</v>
      </c>
      <c r="L63" t="s">
        <v>29</v>
      </c>
    </row>
    <row r="64" spans="1:13" x14ac:dyDescent="0.35">
      <c r="A64">
        <v>1064</v>
      </c>
      <c r="B64" s="1">
        <v>46059</v>
      </c>
      <c r="C64" t="s">
        <v>103</v>
      </c>
      <c r="D64" t="s">
        <v>24</v>
      </c>
      <c r="E64" t="s">
        <v>36</v>
      </c>
      <c r="F64" t="s">
        <v>39</v>
      </c>
      <c r="G64" t="s">
        <v>46</v>
      </c>
      <c r="H64">
        <v>6</v>
      </c>
      <c r="I64">
        <v>4798</v>
      </c>
      <c r="J64">
        <v>10</v>
      </c>
      <c r="K64" t="s">
        <v>28</v>
      </c>
      <c r="L64" t="s">
        <v>33</v>
      </c>
      <c r="M64" t="s">
        <v>20</v>
      </c>
    </row>
    <row r="65" spans="1:13" x14ac:dyDescent="0.35">
      <c r="A65">
        <v>1065</v>
      </c>
      <c r="B65" s="1">
        <v>46082</v>
      </c>
      <c r="C65" t="s">
        <v>104</v>
      </c>
      <c r="D65" t="s">
        <v>43</v>
      </c>
      <c r="E65" t="s">
        <v>36</v>
      </c>
      <c r="F65" t="s">
        <v>54</v>
      </c>
      <c r="G65" t="s">
        <v>27</v>
      </c>
      <c r="H65">
        <v>3</v>
      </c>
      <c r="I65">
        <v>2000</v>
      </c>
      <c r="J65">
        <v>10</v>
      </c>
      <c r="K65" t="s">
        <v>28</v>
      </c>
      <c r="L65" t="s">
        <v>33</v>
      </c>
    </row>
    <row r="66" spans="1:13" x14ac:dyDescent="0.35">
      <c r="A66">
        <v>1066</v>
      </c>
      <c r="B66" s="1">
        <v>46115</v>
      </c>
      <c r="C66" t="s">
        <v>105</v>
      </c>
      <c r="D66" t="s">
        <v>24</v>
      </c>
      <c r="E66" t="s">
        <v>15</v>
      </c>
      <c r="F66" t="s">
        <v>45</v>
      </c>
      <c r="G66" t="s">
        <v>40</v>
      </c>
      <c r="H66">
        <v>4</v>
      </c>
      <c r="I66">
        <v>3282</v>
      </c>
      <c r="J66">
        <v>15</v>
      </c>
      <c r="K66" t="s">
        <v>28</v>
      </c>
      <c r="L66" t="s">
        <v>29</v>
      </c>
      <c r="M66" t="s">
        <v>48</v>
      </c>
    </row>
    <row r="67" spans="1:13" x14ac:dyDescent="0.35">
      <c r="A67">
        <v>1067</v>
      </c>
      <c r="B67" s="1">
        <v>46067</v>
      </c>
      <c r="C67" t="s">
        <v>106</v>
      </c>
      <c r="D67" t="s">
        <v>35</v>
      </c>
      <c r="E67" t="s">
        <v>15</v>
      </c>
      <c r="F67" t="s">
        <v>45</v>
      </c>
      <c r="G67" t="s">
        <v>17</v>
      </c>
      <c r="H67">
        <v>6</v>
      </c>
      <c r="I67">
        <v>584</v>
      </c>
      <c r="J67">
        <v>15</v>
      </c>
      <c r="K67" t="s">
        <v>18</v>
      </c>
      <c r="L67" t="s">
        <v>33</v>
      </c>
      <c r="M67" t="s">
        <v>41</v>
      </c>
    </row>
    <row r="68" spans="1:13" x14ac:dyDescent="0.35">
      <c r="A68">
        <v>1068</v>
      </c>
      <c r="B68" s="1">
        <v>46032</v>
      </c>
      <c r="C68" t="s">
        <v>107</v>
      </c>
      <c r="D68" t="s">
        <v>35</v>
      </c>
      <c r="E68" t="s">
        <v>25</v>
      </c>
      <c r="F68" t="s">
        <v>26</v>
      </c>
      <c r="G68" t="s">
        <v>17</v>
      </c>
      <c r="H68">
        <v>2</v>
      </c>
      <c r="I68">
        <v>1798</v>
      </c>
      <c r="J68">
        <v>10</v>
      </c>
      <c r="K68" t="s">
        <v>22</v>
      </c>
      <c r="L68" t="s">
        <v>29</v>
      </c>
    </row>
    <row r="69" spans="1:13" x14ac:dyDescent="0.35">
      <c r="A69">
        <v>1069</v>
      </c>
      <c r="B69" s="1">
        <v>46061</v>
      </c>
      <c r="C69" t="s">
        <v>108</v>
      </c>
      <c r="D69" t="s">
        <v>14</v>
      </c>
      <c r="E69" t="s">
        <v>15</v>
      </c>
      <c r="F69" t="s">
        <v>16</v>
      </c>
      <c r="G69" t="s">
        <v>17</v>
      </c>
      <c r="H69">
        <v>6</v>
      </c>
      <c r="I69">
        <v>3099</v>
      </c>
      <c r="J69">
        <v>5</v>
      </c>
      <c r="K69" t="s">
        <v>28</v>
      </c>
      <c r="L69" t="s">
        <v>33</v>
      </c>
      <c r="M69" t="s">
        <v>20</v>
      </c>
    </row>
    <row r="70" spans="1:13" x14ac:dyDescent="0.35">
      <c r="A70">
        <v>1070</v>
      </c>
      <c r="B70" s="1">
        <v>46161</v>
      </c>
      <c r="C70" t="s">
        <v>109</v>
      </c>
      <c r="D70" t="s">
        <v>24</v>
      </c>
      <c r="E70" t="s">
        <v>15</v>
      </c>
      <c r="F70" t="s">
        <v>45</v>
      </c>
      <c r="G70" t="s">
        <v>46</v>
      </c>
      <c r="H70">
        <v>3</v>
      </c>
      <c r="I70">
        <v>1879</v>
      </c>
      <c r="J70">
        <v>10</v>
      </c>
      <c r="K70" t="s">
        <v>28</v>
      </c>
      <c r="L70" t="s">
        <v>29</v>
      </c>
      <c r="M70" t="s">
        <v>20</v>
      </c>
    </row>
    <row r="71" spans="1:13" x14ac:dyDescent="0.35">
      <c r="A71">
        <v>1071</v>
      </c>
      <c r="B71" s="1">
        <v>46029</v>
      </c>
      <c r="C71" t="s">
        <v>110</v>
      </c>
      <c r="D71" t="s">
        <v>14</v>
      </c>
      <c r="E71" t="s">
        <v>15</v>
      </c>
      <c r="F71" t="s">
        <v>16</v>
      </c>
      <c r="G71" t="s">
        <v>40</v>
      </c>
      <c r="H71">
        <v>9</v>
      </c>
      <c r="I71">
        <v>930</v>
      </c>
      <c r="J71">
        <v>0</v>
      </c>
      <c r="K71" t="s">
        <v>28</v>
      </c>
      <c r="L71" t="s">
        <v>29</v>
      </c>
      <c r="M71" t="s">
        <v>20</v>
      </c>
    </row>
    <row r="72" spans="1:13" x14ac:dyDescent="0.35">
      <c r="A72">
        <v>1072</v>
      </c>
      <c r="B72" s="1">
        <v>46181</v>
      </c>
      <c r="C72" t="s">
        <v>111</v>
      </c>
      <c r="D72" t="s">
        <v>43</v>
      </c>
      <c r="E72" t="s">
        <v>25</v>
      </c>
      <c r="F72" t="s">
        <v>32</v>
      </c>
      <c r="G72" t="s">
        <v>17</v>
      </c>
      <c r="H72">
        <v>6</v>
      </c>
      <c r="I72">
        <v>4713</v>
      </c>
      <c r="J72">
        <v>0</v>
      </c>
      <c r="K72" t="s">
        <v>28</v>
      </c>
      <c r="L72" t="s">
        <v>33</v>
      </c>
      <c r="M72" t="s">
        <v>20</v>
      </c>
    </row>
    <row r="73" spans="1:13" x14ac:dyDescent="0.35">
      <c r="A73">
        <v>1073</v>
      </c>
      <c r="B73" s="1">
        <v>46186</v>
      </c>
      <c r="C73" t="s">
        <v>112</v>
      </c>
      <c r="D73" t="s">
        <v>24</v>
      </c>
      <c r="E73" t="s">
        <v>25</v>
      </c>
      <c r="F73" t="s">
        <v>26</v>
      </c>
      <c r="G73" t="s">
        <v>17</v>
      </c>
      <c r="H73">
        <v>2</v>
      </c>
      <c r="I73">
        <v>3055</v>
      </c>
      <c r="J73">
        <v>5</v>
      </c>
      <c r="K73" t="s">
        <v>22</v>
      </c>
      <c r="L73" t="s">
        <v>29</v>
      </c>
      <c r="M73" t="s">
        <v>41</v>
      </c>
    </row>
    <row r="74" spans="1:13" x14ac:dyDescent="0.35">
      <c r="A74">
        <v>1074</v>
      </c>
      <c r="B74" s="1">
        <v>46180</v>
      </c>
      <c r="C74" t="s">
        <v>113</v>
      </c>
      <c r="D74" t="s">
        <v>35</v>
      </c>
      <c r="E74" t="s">
        <v>15</v>
      </c>
      <c r="F74" t="s">
        <v>16</v>
      </c>
      <c r="G74" t="s">
        <v>46</v>
      </c>
      <c r="H74">
        <v>5</v>
      </c>
      <c r="I74">
        <v>993</v>
      </c>
      <c r="J74">
        <v>5</v>
      </c>
      <c r="K74" t="s">
        <v>18</v>
      </c>
      <c r="L74" t="s">
        <v>33</v>
      </c>
      <c r="M74" t="s">
        <v>48</v>
      </c>
    </row>
    <row r="75" spans="1:13" x14ac:dyDescent="0.35">
      <c r="A75">
        <v>1075</v>
      </c>
      <c r="B75" s="1">
        <v>46110</v>
      </c>
      <c r="C75" t="s">
        <v>114</v>
      </c>
      <c r="D75" t="s">
        <v>14</v>
      </c>
      <c r="E75" t="s">
        <v>25</v>
      </c>
      <c r="F75" t="s">
        <v>26</v>
      </c>
      <c r="G75" t="s">
        <v>17</v>
      </c>
      <c r="H75">
        <v>2</v>
      </c>
      <c r="I75">
        <v>4128</v>
      </c>
      <c r="J75">
        <v>0</v>
      </c>
      <c r="K75" t="s">
        <v>18</v>
      </c>
      <c r="L75" t="s">
        <v>33</v>
      </c>
    </row>
    <row r="76" spans="1:13" x14ac:dyDescent="0.35">
      <c r="A76">
        <v>1076</v>
      </c>
      <c r="B76" s="1">
        <v>46193</v>
      </c>
      <c r="C76" t="s">
        <v>115</v>
      </c>
      <c r="D76" t="s">
        <v>31</v>
      </c>
      <c r="E76" t="s">
        <v>15</v>
      </c>
      <c r="F76" t="s">
        <v>16</v>
      </c>
      <c r="G76" t="s">
        <v>46</v>
      </c>
      <c r="H76">
        <v>4</v>
      </c>
      <c r="I76">
        <v>4162</v>
      </c>
      <c r="J76">
        <v>10</v>
      </c>
      <c r="K76" t="s">
        <v>22</v>
      </c>
      <c r="L76" t="s">
        <v>19</v>
      </c>
      <c r="M76" t="s">
        <v>41</v>
      </c>
    </row>
    <row r="77" spans="1:13" x14ac:dyDescent="0.35">
      <c r="A77">
        <v>1077</v>
      </c>
      <c r="B77" s="1">
        <v>46095</v>
      </c>
      <c r="C77" t="s">
        <v>116</v>
      </c>
      <c r="D77" t="s">
        <v>24</v>
      </c>
      <c r="E77" t="s">
        <v>15</v>
      </c>
      <c r="F77" t="s">
        <v>45</v>
      </c>
      <c r="G77" t="s">
        <v>27</v>
      </c>
      <c r="H77">
        <v>8</v>
      </c>
      <c r="I77">
        <v>3138</v>
      </c>
      <c r="J77">
        <v>0</v>
      </c>
      <c r="K77" t="s">
        <v>22</v>
      </c>
      <c r="L77" t="s">
        <v>29</v>
      </c>
      <c r="M77" t="s">
        <v>48</v>
      </c>
    </row>
    <row r="78" spans="1:13" x14ac:dyDescent="0.35">
      <c r="A78">
        <v>1078</v>
      </c>
      <c r="B78" s="1">
        <v>46194</v>
      </c>
      <c r="C78" t="s">
        <v>117</v>
      </c>
      <c r="D78" t="s">
        <v>24</v>
      </c>
      <c r="E78" t="s">
        <v>25</v>
      </c>
      <c r="F78" t="s">
        <v>26</v>
      </c>
      <c r="G78" t="s">
        <v>27</v>
      </c>
      <c r="H78">
        <v>3</v>
      </c>
      <c r="I78">
        <v>1393</v>
      </c>
      <c r="J78">
        <v>5</v>
      </c>
      <c r="K78" t="s">
        <v>28</v>
      </c>
      <c r="L78" t="s">
        <v>29</v>
      </c>
      <c r="M78" t="s">
        <v>48</v>
      </c>
    </row>
    <row r="79" spans="1:13" x14ac:dyDescent="0.35">
      <c r="A79">
        <v>1079</v>
      </c>
      <c r="B79" s="1">
        <v>46073</v>
      </c>
      <c r="C79" t="s">
        <v>118</v>
      </c>
      <c r="D79" t="s">
        <v>14</v>
      </c>
      <c r="E79" t="s">
        <v>25</v>
      </c>
      <c r="F79" t="s">
        <v>26</v>
      </c>
      <c r="G79" t="s">
        <v>46</v>
      </c>
      <c r="H79">
        <v>9</v>
      </c>
      <c r="I79">
        <v>4425</v>
      </c>
      <c r="J79">
        <v>0</v>
      </c>
      <c r="K79" t="s">
        <v>28</v>
      </c>
      <c r="L79" t="s">
        <v>19</v>
      </c>
      <c r="M79" t="s">
        <v>48</v>
      </c>
    </row>
    <row r="80" spans="1:13" x14ac:dyDescent="0.35">
      <c r="A80">
        <v>1080</v>
      </c>
      <c r="B80" s="1">
        <v>46131</v>
      </c>
      <c r="C80" t="s">
        <v>119</v>
      </c>
      <c r="D80" t="s">
        <v>43</v>
      </c>
      <c r="E80" t="s">
        <v>36</v>
      </c>
      <c r="F80" t="s">
        <v>39</v>
      </c>
      <c r="G80" t="s">
        <v>17</v>
      </c>
      <c r="H80">
        <v>4</v>
      </c>
      <c r="I80">
        <v>4656</v>
      </c>
      <c r="J80">
        <v>0</v>
      </c>
      <c r="K80" t="s">
        <v>22</v>
      </c>
      <c r="L80" t="s">
        <v>19</v>
      </c>
      <c r="M80" t="s">
        <v>48</v>
      </c>
    </row>
    <row r="81" spans="1:13" x14ac:dyDescent="0.35">
      <c r="A81">
        <v>1081</v>
      </c>
      <c r="B81" s="1">
        <v>46035</v>
      </c>
      <c r="C81" t="s">
        <v>120</v>
      </c>
      <c r="D81" t="s">
        <v>35</v>
      </c>
      <c r="E81" t="s">
        <v>36</v>
      </c>
      <c r="F81" t="s">
        <v>39</v>
      </c>
      <c r="G81" t="s">
        <v>17</v>
      </c>
      <c r="H81">
        <v>1</v>
      </c>
      <c r="I81">
        <v>1513</v>
      </c>
      <c r="J81">
        <v>0</v>
      </c>
      <c r="K81" t="s">
        <v>22</v>
      </c>
      <c r="L81" t="s">
        <v>29</v>
      </c>
      <c r="M81" t="s">
        <v>20</v>
      </c>
    </row>
    <row r="82" spans="1:13" x14ac:dyDescent="0.35">
      <c r="A82">
        <v>1082</v>
      </c>
      <c r="B82" s="1">
        <v>46111</v>
      </c>
      <c r="C82" t="s">
        <v>121</v>
      </c>
      <c r="D82" t="s">
        <v>31</v>
      </c>
      <c r="E82" t="s">
        <v>25</v>
      </c>
      <c r="F82" t="s">
        <v>26</v>
      </c>
      <c r="G82" t="s">
        <v>17</v>
      </c>
      <c r="H82">
        <v>10</v>
      </c>
      <c r="I82">
        <v>2508</v>
      </c>
      <c r="J82">
        <v>15</v>
      </c>
      <c r="K82" t="s">
        <v>28</v>
      </c>
      <c r="L82" t="s">
        <v>19</v>
      </c>
      <c r="M82" t="s">
        <v>48</v>
      </c>
    </row>
    <row r="83" spans="1:13" x14ac:dyDescent="0.35">
      <c r="A83">
        <v>1083</v>
      </c>
      <c r="B83" s="1">
        <v>46085</v>
      </c>
      <c r="C83" t="s">
        <v>122</v>
      </c>
      <c r="D83" t="s">
        <v>24</v>
      </c>
      <c r="E83" t="s">
        <v>36</v>
      </c>
      <c r="F83" t="s">
        <v>37</v>
      </c>
      <c r="G83" t="s">
        <v>40</v>
      </c>
      <c r="H83">
        <v>2</v>
      </c>
      <c r="I83">
        <v>2555</v>
      </c>
      <c r="J83">
        <v>0</v>
      </c>
      <c r="K83" t="s">
        <v>22</v>
      </c>
      <c r="L83" t="s">
        <v>19</v>
      </c>
    </row>
    <row r="84" spans="1:13" x14ac:dyDescent="0.35">
      <c r="A84">
        <v>1084</v>
      </c>
      <c r="B84" s="1">
        <v>46078</v>
      </c>
      <c r="C84" t="s">
        <v>123</v>
      </c>
      <c r="D84" t="s">
        <v>43</v>
      </c>
      <c r="E84" t="s">
        <v>36</v>
      </c>
      <c r="F84" t="s">
        <v>37</v>
      </c>
      <c r="G84" t="s">
        <v>27</v>
      </c>
      <c r="H84">
        <v>6</v>
      </c>
      <c r="I84">
        <v>3179</v>
      </c>
      <c r="J84">
        <v>5</v>
      </c>
      <c r="K84" t="s">
        <v>22</v>
      </c>
      <c r="L84" t="s">
        <v>29</v>
      </c>
      <c r="M84" t="s">
        <v>48</v>
      </c>
    </row>
    <row r="85" spans="1:13" x14ac:dyDescent="0.35">
      <c r="A85">
        <v>1085</v>
      </c>
      <c r="B85" s="1">
        <v>46082</v>
      </c>
      <c r="C85" t="s">
        <v>124</v>
      </c>
      <c r="D85" t="s">
        <v>35</v>
      </c>
      <c r="E85" t="s">
        <v>15</v>
      </c>
      <c r="F85" t="s">
        <v>45</v>
      </c>
      <c r="G85" t="s">
        <v>27</v>
      </c>
      <c r="H85">
        <v>3</v>
      </c>
      <c r="I85">
        <v>2462</v>
      </c>
      <c r="J85">
        <v>5</v>
      </c>
      <c r="K85" t="s">
        <v>22</v>
      </c>
      <c r="L85" t="s">
        <v>33</v>
      </c>
      <c r="M85" t="s">
        <v>41</v>
      </c>
    </row>
    <row r="86" spans="1:13" x14ac:dyDescent="0.35">
      <c r="A86">
        <v>1086</v>
      </c>
      <c r="B86" s="1">
        <v>46120</v>
      </c>
      <c r="C86" t="s">
        <v>125</v>
      </c>
      <c r="D86" t="s">
        <v>24</v>
      </c>
      <c r="E86" t="s">
        <v>36</v>
      </c>
      <c r="F86" t="s">
        <v>37</v>
      </c>
      <c r="G86" t="s">
        <v>40</v>
      </c>
      <c r="H86">
        <v>2</v>
      </c>
      <c r="I86">
        <v>4560</v>
      </c>
      <c r="J86">
        <v>0</v>
      </c>
      <c r="K86" t="s">
        <v>28</v>
      </c>
      <c r="L86" t="s">
        <v>29</v>
      </c>
      <c r="M86" t="s">
        <v>48</v>
      </c>
    </row>
    <row r="87" spans="1:13" x14ac:dyDescent="0.35">
      <c r="A87">
        <v>1087</v>
      </c>
      <c r="B87" s="1">
        <v>46028</v>
      </c>
      <c r="C87" t="s">
        <v>126</v>
      </c>
      <c r="D87" t="s">
        <v>14</v>
      </c>
      <c r="E87" t="s">
        <v>36</v>
      </c>
      <c r="F87" t="s">
        <v>54</v>
      </c>
      <c r="G87" t="s">
        <v>46</v>
      </c>
      <c r="H87">
        <v>6</v>
      </c>
      <c r="I87">
        <v>3102</v>
      </c>
      <c r="J87">
        <v>5</v>
      </c>
      <c r="K87" t="s">
        <v>22</v>
      </c>
      <c r="L87" t="s">
        <v>29</v>
      </c>
      <c r="M87" t="s">
        <v>48</v>
      </c>
    </row>
    <row r="88" spans="1:13" x14ac:dyDescent="0.35">
      <c r="A88">
        <v>1088</v>
      </c>
      <c r="B88" s="1">
        <v>46094</v>
      </c>
      <c r="C88" t="s">
        <v>127</v>
      </c>
      <c r="D88" t="s">
        <v>35</v>
      </c>
      <c r="E88" t="s">
        <v>25</v>
      </c>
      <c r="F88" t="s">
        <v>32</v>
      </c>
      <c r="G88" t="s">
        <v>46</v>
      </c>
      <c r="H88">
        <v>2</v>
      </c>
      <c r="I88">
        <v>3298</v>
      </c>
      <c r="J88">
        <v>0</v>
      </c>
      <c r="K88" t="s">
        <v>28</v>
      </c>
      <c r="L88" t="s">
        <v>29</v>
      </c>
    </row>
    <row r="89" spans="1:13" x14ac:dyDescent="0.35">
      <c r="A89">
        <v>1089</v>
      </c>
      <c r="B89" s="1">
        <v>46049</v>
      </c>
      <c r="C89" t="s">
        <v>128</v>
      </c>
      <c r="D89" t="s">
        <v>35</v>
      </c>
      <c r="E89" t="s">
        <v>15</v>
      </c>
      <c r="F89" t="s">
        <v>16</v>
      </c>
      <c r="G89" t="s">
        <v>46</v>
      </c>
      <c r="H89">
        <v>6</v>
      </c>
      <c r="I89">
        <v>2909</v>
      </c>
      <c r="J89">
        <v>15</v>
      </c>
      <c r="K89" t="s">
        <v>28</v>
      </c>
      <c r="L89" t="s">
        <v>19</v>
      </c>
      <c r="M89" t="s">
        <v>20</v>
      </c>
    </row>
    <row r="90" spans="1:13" x14ac:dyDescent="0.35">
      <c r="A90">
        <v>1090</v>
      </c>
      <c r="B90" s="1">
        <v>46088</v>
      </c>
      <c r="C90" t="s">
        <v>129</v>
      </c>
      <c r="D90" t="s">
        <v>31</v>
      </c>
      <c r="E90" t="s">
        <v>36</v>
      </c>
      <c r="F90" t="s">
        <v>54</v>
      </c>
      <c r="G90" t="s">
        <v>27</v>
      </c>
      <c r="H90">
        <v>1</v>
      </c>
      <c r="I90">
        <v>1957</v>
      </c>
      <c r="J90">
        <v>10</v>
      </c>
      <c r="K90" t="s">
        <v>22</v>
      </c>
      <c r="L90" t="s">
        <v>19</v>
      </c>
      <c r="M90" t="s">
        <v>41</v>
      </c>
    </row>
    <row r="91" spans="1:13" x14ac:dyDescent="0.35">
      <c r="A91">
        <v>1091</v>
      </c>
      <c r="B91" s="1">
        <v>46025</v>
      </c>
      <c r="C91" t="s">
        <v>130</v>
      </c>
      <c r="D91" t="s">
        <v>14</v>
      </c>
      <c r="E91" t="s">
        <v>15</v>
      </c>
      <c r="F91" t="s">
        <v>16</v>
      </c>
      <c r="G91" t="s">
        <v>17</v>
      </c>
      <c r="H91">
        <v>2</v>
      </c>
      <c r="I91">
        <v>1703</v>
      </c>
      <c r="J91">
        <v>10</v>
      </c>
      <c r="K91" t="s">
        <v>22</v>
      </c>
      <c r="L91" t="s">
        <v>19</v>
      </c>
    </row>
    <row r="92" spans="1:13" x14ac:dyDescent="0.35">
      <c r="A92">
        <v>1092</v>
      </c>
      <c r="B92" s="1">
        <v>46142</v>
      </c>
      <c r="C92" t="s">
        <v>131</v>
      </c>
      <c r="D92" t="s">
        <v>14</v>
      </c>
      <c r="E92" t="s">
        <v>15</v>
      </c>
      <c r="F92" t="s">
        <v>16</v>
      </c>
      <c r="G92" t="s">
        <v>46</v>
      </c>
      <c r="H92">
        <v>7</v>
      </c>
      <c r="I92">
        <v>1418</v>
      </c>
      <c r="J92">
        <v>5</v>
      </c>
      <c r="K92" t="s">
        <v>22</v>
      </c>
      <c r="L92" t="s">
        <v>33</v>
      </c>
    </row>
    <row r="93" spans="1:13" x14ac:dyDescent="0.35">
      <c r="A93">
        <v>1093</v>
      </c>
      <c r="B93" s="1">
        <v>46122</v>
      </c>
      <c r="C93" t="s">
        <v>132</v>
      </c>
      <c r="D93" t="s">
        <v>35</v>
      </c>
      <c r="E93" t="s">
        <v>15</v>
      </c>
      <c r="F93" t="s">
        <v>45</v>
      </c>
      <c r="G93" t="s">
        <v>17</v>
      </c>
      <c r="H93">
        <v>5</v>
      </c>
      <c r="I93">
        <v>4271</v>
      </c>
      <c r="J93">
        <v>0</v>
      </c>
      <c r="K93" t="s">
        <v>22</v>
      </c>
      <c r="L93" t="s">
        <v>29</v>
      </c>
      <c r="M93" t="s">
        <v>41</v>
      </c>
    </row>
    <row r="94" spans="1:13" x14ac:dyDescent="0.35">
      <c r="A94">
        <v>1094</v>
      </c>
      <c r="B94" s="1">
        <v>46148</v>
      </c>
      <c r="C94" t="s">
        <v>133</v>
      </c>
      <c r="D94" t="s">
        <v>35</v>
      </c>
      <c r="E94" t="s">
        <v>36</v>
      </c>
      <c r="F94" t="s">
        <v>37</v>
      </c>
      <c r="G94" t="s">
        <v>17</v>
      </c>
      <c r="H94">
        <v>1</v>
      </c>
      <c r="I94">
        <v>666</v>
      </c>
      <c r="J94">
        <v>15</v>
      </c>
      <c r="K94" t="s">
        <v>22</v>
      </c>
      <c r="L94" t="s">
        <v>29</v>
      </c>
      <c r="M94" t="s">
        <v>20</v>
      </c>
    </row>
    <row r="95" spans="1:13" x14ac:dyDescent="0.35">
      <c r="A95">
        <v>1095</v>
      </c>
      <c r="B95" s="1">
        <v>46124</v>
      </c>
      <c r="C95" t="s">
        <v>134</v>
      </c>
      <c r="D95" t="s">
        <v>14</v>
      </c>
      <c r="E95" t="s">
        <v>25</v>
      </c>
      <c r="F95" t="s">
        <v>26</v>
      </c>
      <c r="G95" t="s">
        <v>46</v>
      </c>
      <c r="H95">
        <v>6</v>
      </c>
      <c r="I95">
        <v>2059</v>
      </c>
      <c r="J95">
        <v>5</v>
      </c>
      <c r="K95" t="s">
        <v>28</v>
      </c>
      <c r="L95" t="s">
        <v>29</v>
      </c>
      <c r="M95" t="s">
        <v>20</v>
      </c>
    </row>
    <row r="96" spans="1:13" x14ac:dyDescent="0.35">
      <c r="A96">
        <v>1096</v>
      </c>
      <c r="B96" s="1">
        <v>46138</v>
      </c>
      <c r="C96" t="s">
        <v>135</v>
      </c>
      <c r="D96" t="s">
        <v>43</v>
      </c>
      <c r="E96" t="s">
        <v>15</v>
      </c>
      <c r="F96" t="s">
        <v>16</v>
      </c>
      <c r="G96" t="s">
        <v>17</v>
      </c>
      <c r="H96">
        <v>4</v>
      </c>
      <c r="I96">
        <v>1564</v>
      </c>
      <c r="J96">
        <v>0</v>
      </c>
      <c r="K96" t="s">
        <v>28</v>
      </c>
      <c r="L96" t="s">
        <v>33</v>
      </c>
      <c r="M96" t="s">
        <v>41</v>
      </c>
    </row>
    <row r="97" spans="1:13" x14ac:dyDescent="0.35">
      <c r="A97">
        <v>1097</v>
      </c>
      <c r="B97" s="1">
        <v>46166</v>
      </c>
      <c r="C97" t="s">
        <v>136</v>
      </c>
      <c r="D97" t="s">
        <v>14</v>
      </c>
      <c r="E97" t="s">
        <v>15</v>
      </c>
      <c r="F97" t="s">
        <v>16</v>
      </c>
      <c r="G97" t="s">
        <v>40</v>
      </c>
      <c r="H97">
        <v>10</v>
      </c>
      <c r="I97">
        <v>1447</v>
      </c>
      <c r="J97">
        <v>5</v>
      </c>
      <c r="K97" t="s">
        <v>28</v>
      </c>
      <c r="L97" t="s">
        <v>33</v>
      </c>
      <c r="M97" t="s">
        <v>20</v>
      </c>
    </row>
    <row r="98" spans="1:13" x14ac:dyDescent="0.35">
      <c r="A98">
        <v>1098</v>
      </c>
      <c r="B98" s="1">
        <v>46094</v>
      </c>
      <c r="C98" t="s">
        <v>137</v>
      </c>
      <c r="D98" t="s">
        <v>31</v>
      </c>
      <c r="E98" t="s">
        <v>15</v>
      </c>
      <c r="F98" t="s">
        <v>45</v>
      </c>
      <c r="G98" t="s">
        <v>40</v>
      </c>
      <c r="H98">
        <v>7</v>
      </c>
      <c r="I98">
        <v>3739</v>
      </c>
      <c r="J98">
        <v>0</v>
      </c>
      <c r="K98" t="s">
        <v>22</v>
      </c>
      <c r="L98" t="s">
        <v>29</v>
      </c>
      <c r="M98" t="s">
        <v>20</v>
      </c>
    </row>
    <row r="99" spans="1:13" x14ac:dyDescent="0.35">
      <c r="A99">
        <v>1099</v>
      </c>
      <c r="B99" s="1">
        <v>46072</v>
      </c>
      <c r="C99" t="s">
        <v>138</v>
      </c>
      <c r="D99" t="s">
        <v>31</v>
      </c>
      <c r="E99" t="s">
        <v>25</v>
      </c>
      <c r="F99" t="s">
        <v>26</v>
      </c>
      <c r="G99" t="s">
        <v>46</v>
      </c>
      <c r="H99">
        <v>1</v>
      </c>
      <c r="I99">
        <v>4096</v>
      </c>
      <c r="J99">
        <v>10</v>
      </c>
      <c r="K99" t="s">
        <v>18</v>
      </c>
      <c r="L99" t="s">
        <v>29</v>
      </c>
      <c r="M99" t="s">
        <v>48</v>
      </c>
    </row>
    <row r="100" spans="1:13" x14ac:dyDescent="0.35">
      <c r="A100">
        <v>1100</v>
      </c>
      <c r="B100" s="1">
        <v>46059</v>
      </c>
      <c r="C100" t="s">
        <v>139</v>
      </c>
      <c r="D100" t="s">
        <v>14</v>
      </c>
      <c r="E100" t="s">
        <v>25</v>
      </c>
      <c r="F100" t="s">
        <v>26</v>
      </c>
      <c r="G100" t="s">
        <v>40</v>
      </c>
      <c r="H100">
        <v>8</v>
      </c>
      <c r="I100">
        <v>3693</v>
      </c>
      <c r="J100">
        <v>10</v>
      </c>
      <c r="K100" t="s">
        <v>28</v>
      </c>
      <c r="L100" t="s">
        <v>19</v>
      </c>
      <c r="M100" t="s">
        <v>41</v>
      </c>
    </row>
    <row r="101" spans="1:13" x14ac:dyDescent="0.35">
      <c r="A101">
        <v>1101</v>
      </c>
      <c r="B101" s="1">
        <v>46151</v>
      </c>
      <c r="C101" t="s">
        <v>140</v>
      </c>
      <c r="D101" t="s">
        <v>31</v>
      </c>
      <c r="E101" t="s">
        <v>15</v>
      </c>
      <c r="F101" t="s">
        <v>16</v>
      </c>
      <c r="G101" t="s">
        <v>40</v>
      </c>
      <c r="H101">
        <v>1</v>
      </c>
      <c r="I101">
        <v>3604</v>
      </c>
      <c r="J101">
        <v>10</v>
      </c>
      <c r="K101" t="s">
        <v>18</v>
      </c>
      <c r="L101" t="s">
        <v>29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B479C5-A638-4ED0-AE11-19CA67C0E8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Sheet1</vt:lpstr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2026-08-04T08:16:15Z</dcterms:created>
  <dcterms:modified xsi:type="dcterms:W3CDTF">2026-08-05T15:50:52Z</dcterms:modified>
</cp:coreProperties>
</file>