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7C4AD961-B9C0-4BC1-A8FB-35B283ED04D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able3_1" sheetId="3" r:id="rId1"/>
    <sheet name="Table3" sheetId="2" r:id="rId2"/>
    <sheet name="MessyData" sheetId="1" r:id="rId3"/>
  </sheets>
  <definedNames>
    <definedName name="ExternalData_1" localSheetId="1" hidden="1">Table3!$A$1:$O$101</definedName>
    <definedName name="ExternalData_2" localSheetId="0" hidden="1">Table3_1!$A$1:$J$101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2" l="1"/>
  <c r="Y5" i="2"/>
  <c r="Y3" i="2"/>
  <c r="X5" i="2"/>
  <c r="X4" i="2"/>
  <c r="X3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T9" i="2"/>
  <c r="T5" i="2"/>
  <c r="T4" i="2"/>
  <c r="T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8780B1-D806-421C-B589-A7977BEA44A7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" xr16:uid="{66A3DFCC-3BFE-480A-B002-46FEAC2EF9F5}" keepAlive="1" name="Query - Table3_1" description="Connection to the 'Table3_1' query in the workbook." type="5" refreshedVersion="8" background="1" saveData="1">
    <dbPr connection="Provider=Microsoft.Mashup.OleDb.1;Data Source=$Workbook$;Location=Table3_1;Extended Properties=&quot;&quot;" command="SELECT * FROM [Table3_1]"/>
  </connection>
</connections>
</file>

<file path=xl/sharedStrings.xml><?xml version="1.0" encoding="utf-8"?>
<sst xmlns="http://schemas.openxmlformats.org/spreadsheetml/2006/main" count="1348" uniqueCount="88">
  <si>
    <t>ID</t>
  </si>
  <si>
    <t>Name</t>
  </si>
  <si>
    <t>Date</t>
  </si>
  <si>
    <t>Phone</t>
  </si>
  <si>
    <t>Email</t>
  </si>
  <si>
    <t>Amount</t>
  </si>
  <si>
    <t>City</t>
  </si>
  <si>
    <t>Gender</t>
  </si>
  <si>
    <t>Product</t>
  </si>
  <si>
    <t>Status</t>
  </si>
  <si>
    <t>Sarah Lee</t>
  </si>
  <si>
    <t>12-03-2026</t>
  </si>
  <si>
    <t>emily@gmail.com</t>
  </si>
  <si>
    <t>08-03-2026</t>
  </si>
  <si>
    <t>F</t>
  </si>
  <si>
    <t>M</t>
  </si>
  <si>
    <t>sarahlee@gmail.com</t>
  </si>
  <si>
    <t>Alex</t>
  </si>
  <si>
    <t>HYDERABAD</t>
  </si>
  <si>
    <t>robert@gmail.com</t>
  </si>
  <si>
    <t>Anna Smith</t>
  </si>
  <si>
    <t>annasmith@gmail.com</t>
  </si>
  <si>
    <t>david@gmail.com</t>
  </si>
  <si>
    <t>janedoe@gmail.com</t>
  </si>
  <si>
    <t>chris@gmail.com</t>
  </si>
  <si>
    <t>johndoe@gmail.com</t>
  </si>
  <si>
    <t>alex@gmail.com</t>
  </si>
  <si>
    <t>Chris</t>
  </si>
  <si>
    <t>09-03-2026</t>
  </si>
  <si>
    <t>KOCHI</t>
  </si>
  <si>
    <t>TABLET</t>
  </si>
  <si>
    <t>DONE</t>
  </si>
  <si>
    <t>07-03-2026</t>
  </si>
  <si>
    <t>AHMEDABAD</t>
  </si>
  <si>
    <t>PHONE</t>
  </si>
  <si>
    <t>Michael</t>
  </si>
  <si>
    <t>10-03-2026</t>
  </si>
  <si>
    <t>michael@mail.com</t>
  </si>
  <si>
    <t>DELHI</t>
  </si>
  <si>
    <t>PENDING</t>
  </si>
  <si>
    <t>John Doe</t>
  </si>
  <si>
    <t>johndoe@mail.com</t>
  </si>
  <si>
    <t>LAPTOP</t>
  </si>
  <si>
    <t>Emily</t>
  </si>
  <si>
    <t>14-03-2026</t>
  </si>
  <si>
    <t>BANGALORE</t>
  </si>
  <si>
    <t>sarahlee@mail.com</t>
  </si>
  <si>
    <t>MUMBAI</t>
  </si>
  <si>
    <t>chris@mail.com</t>
  </si>
  <si>
    <t>PUNE</t>
  </si>
  <si>
    <t>michael@gmail.com</t>
  </si>
  <si>
    <t>11-03-2026</t>
  </si>
  <si>
    <t>alex@mail.com</t>
  </si>
  <si>
    <t>KOLKATA</t>
  </si>
  <si>
    <t>emily@mail.com</t>
  </si>
  <si>
    <t>Jane Doe</t>
  </si>
  <si>
    <t>16-03-2026</t>
  </si>
  <si>
    <t>janedoe@mail.com</t>
  </si>
  <si>
    <t>Robert</t>
  </si>
  <si>
    <t>JAIPUR</t>
  </si>
  <si>
    <t>13-03-2026</t>
  </si>
  <si>
    <t>David</t>
  </si>
  <si>
    <t>david@mail.com</t>
  </si>
  <si>
    <t>CHENNAI</t>
  </si>
  <si>
    <t>15-03-2026</t>
  </si>
  <si>
    <t>annasmith@mail.com</t>
  </si>
  <si>
    <t>robert@mail.com</t>
  </si>
  <si>
    <t>1. Calculate the total sales amount generated from all orders.</t>
  </si>
  <si>
    <t>2. Calculate the total sales amount generated from orders placed in Delhi.</t>
  </si>
  <si>
    <t>3. Calculate the total sales amount generated from Laptop sales.</t>
  </si>
  <si>
    <t>4. Create a new column that categorizes each order as “Large Order” if the amount is ₹4,000 or more; otherwise, “Small Order”.</t>
  </si>
  <si>
    <t>5. Create a new column that displays “Revenue Realized” for completed orders and “Awaiting Completion” for all other orders.</t>
  </si>
  <si>
    <t>6. Determine whether each order was placed on a Weekday or a Weekend.</t>
  </si>
  <si>
    <t>7. Calculate the total sales amount for orders placed on 10-Mar-2026.</t>
  </si>
  <si>
    <t>8. Extract the month from the order date and calculate the total sales for March 2026.</t>
  </si>
  <si>
    <t>9. Assuming today’s date is 20-Mar-2026, create a new column that labels orders placed within the last 7 days as “Recent” and all others as “Old”.</t>
  </si>
  <si>
    <t>10. Calculate the total sales amount for each city and identify the cities with total sales exceeding ₹20,000.</t>
  </si>
  <si>
    <t>QUESTION</t>
  </si>
  <si>
    <t>ANSWERS</t>
  </si>
  <si>
    <t>Column1</t>
  </si>
  <si>
    <t>6</t>
  </si>
  <si>
    <t>done</t>
  </si>
  <si>
    <t>8</t>
  </si>
  <si>
    <t>9</t>
  </si>
  <si>
    <t>todays date-9</t>
  </si>
  <si>
    <t>4</t>
  </si>
  <si>
    <t>Column2</t>
  </si>
  <si>
    <t>Column22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</si>
</sst>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A09BD60-23FB-4F52-BDC2-81CDAF5577C9}" autoFormatId="16" applyNumberFormats="0" applyBorderFormats="0" applyFontFormats="0" applyPatternFormats="0" applyAlignmentFormats="0" applyWidthHeightFormats="0">
  <queryTableRefresh nextId="12">
    <queryTableFields count="10">
      <queryTableField id="1" name="ID" tableColumnId="1"/>
      <queryTableField id="2" name="Name" tableColumnId="2"/>
      <queryTableField id="3" name="Date" tableColumnId="3"/>
      <queryTableField id="4" name="Phone" tableColumnId="4"/>
      <queryTableField id="5" name="Email" tableColumnId="5"/>
      <queryTableField id="6" name="Amount" tableColumnId="6"/>
      <queryTableField id="7" name="City" tableColumnId="7"/>
      <queryTableField id="8" name="Gender" tableColumnId="8"/>
      <queryTableField id="9" name="Product" tableColumnId="9"/>
      <queryTableField id="10" name="Statu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75FA65-2221-4EAE-8C1C-A6D077F8AAF7}" autoFormatId="16" applyNumberFormats="0" applyBorderFormats="0" applyFontFormats="0" applyPatternFormats="0" applyAlignmentFormats="0" applyWidthHeightFormats="0">
  <queryTableRefresh nextId="20">
    <queryTableFields count="15">
      <queryTableField id="1" name="ID" tableColumnId="1"/>
      <queryTableField id="2" name="Name" tableColumnId="2"/>
      <queryTableField id="15" dataBound="0" tableColumnId="12"/>
      <queryTableField id="16" dataBound="0" tableColumnId="13"/>
      <queryTableField id="17" dataBound="0" tableColumnId="14"/>
      <queryTableField id="18" dataBound="0" tableColumnId="16"/>
      <queryTableField id="3" name="Date" tableColumnId="3"/>
      <queryTableField id="4" name="Phone" tableColumnId="4"/>
      <queryTableField id="5" name="Email" tableColumnId="5"/>
      <queryTableField id="6" name="Amount" tableColumnId="6"/>
      <queryTableField id="7" name="City" tableColumnId="7"/>
      <queryTableField id="8" name="Gender" tableColumnId="8"/>
      <queryTableField id="9" name="Product" tableColumnId="9"/>
      <queryTableField id="14" dataBound="0" tableColumnId="11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93D91F-322B-4C88-8185-B8CF42A6CC6F}" name="Table3_2" displayName="Table3_2" ref="A1:J101" tableType="queryTable" totalsRowShown="0">
  <autoFilter ref="A1:J101" xr:uid="{C593D91F-322B-4C88-8185-B8CF42A6CC6F}"/>
  <tableColumns count="10">
    <tableColumn id="1" xr3:uid="{3FA65066-FE1B-491C-90E3-73CE5153F9DC}" uniqueName="1" name="ID" queryTableFieldId="1"/>
    <tableColumn id="2" xr3:uid="{9755E008-1D4B-4440-AD4D-580286124569}" uniqueName="2" name="Name" queryTableFieldId="2" dataDxfId="20"/>
    <tableColumn id="3" xr3:uid="{4870E0D0-5603-4371-B7D4-E92B7BE030CA}" uniqueName="3" name="Date" queryTableFieldId="3" dataDxfId="19"/>
    <tableColumn id="4" xr3:uid="{BF70704A-2CF9-4CDD-B78E-DBD56A18B1BD}" uniqueName="4" name="Phone" queryTableFieldId="4"/>
    <tableColumn id="5" xr3:uid="{E8EA57C0-A686-43D7-8FE2-FA15B8E7EED6}" uniqueName="5" name="Email" queryTableFieldId="5" dataDxfId="18"/>
    <tableColumn id="6" xr3:uid="{46285276-4E17-4192-BC14-011237CB6A60}" uniqueName="6" name="Amount" queryTableFieldId="6"/>
    <tableColumn id="7" xr3:uid="{1C63AA87-7A9B-4C05-B427-36D608BE9587}" uniqueName="7" name="City" queryTableFieldId="7" dataDxfId="17"/>
    <tableColumn id="8" xr3:uid="{2D70DB9D-2C60-42E1-96B7-75874AF8A9B9}" uniqueName="8" name="Gender" queryTableFieldId="8" dataDxfId="16"/>
    <tableColumn id="9" xr3:uid="{E90D807E-C055-4947-882F-9F8ECDA01C24}" uniqueName="9" name="Product" queryTableFieldId="9" dataDxfId="15"/>
    <tableColumn id="10" xr3:uid="{E5C30676-D437-4950-88B4-82E73A9CC912}" uniqueName="10" name="Status" queryTableFieldId="10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154A05-9294-4C2E-BC8C-993441BB9C87}" name="Table3_1" displayName="Table3_1" ref="A1:O101" tableType="queryTable" totalsRowShown="0">
  <autoFilter ref="A1:O101" xr:uid="{B2154A05-9294-4C2E-BC8C-993441BB9C87}"/>
  <tableColumns count="15">
    <tableColumn id="1" xr3:uid="{2A239D0D-69EC-4BC5-85D0-8802206DFB56}" uniqueName="1" name="ID" queryTableFieldId="1"/>
    <tableColumn id="2" xr3:uid="{87DBB51F-B045-44FC-8CED-0B39900C7700}" uniqueName="2" name="Name" queryTableFieldId="2" dataDxfId="13"/>
    <tableColumn id="12" xr3:uid="{2C943860-8672-426F-BD69-C260C3146A80}" uniqueName="12" name="6" queryTableFieldId="15" dataDxfId="5">
      <calculatedColumnFormula>IF(WEEKDAY(Table3_1[[#This Row],[Date]])&gt;5,"weekend","weekday")</calculatedColumnFormula>
    </tableColumn>
    <tableColumn id="13" xr3:uid="{15F7B594-8D54-411A-8DBE-736C20DB878B}" uniqueName="13" name="8" queryTableFieldId="16" dataDxfId="4">
      <calculatedColumnFormula>MONTH(Table3_1[[#This Row],[Date]])</calculatedColumnFormula>
    </tableColumn>
    <tableColumn id="14" xr3:uid="{6AD83CFC-2227-4A1B-BF68-CD9CA28B515C}" uniqueName="14" name="todays date-9" queryTableFieldId="17"/>
    <tableColumn id="16" xr3:uid="{E96AD34E-1D1F-4ED9-9B64-38AEEE232222}" uniqueName="16" name="9" queryTableFieldId="18" dataDxfId="3">
      <calculatedColumnFormula>IF(Table3_1[[#This Row],[todays date-9]]-Table3_1[[#This Row],[Date]]&gt;7,"old order","recent order")</calculatedColumnFormula>
    </tableColumn>
    <tableColumn id="3" xr3:uid="{D7B521F6-B5D7-4A3A-8C3E-458FD809C851}" uniqueName="3" name="Date" queryTableFieldId="3" dataDxfId="12"/>
    <tableColumn id="4" xr3:uid="{7D6A7AC8-AD58-46EE-AC70-920689406839}" uniqueName="4" name="Phone" queryTableFieldId="4"/>
    <tableColumn id="5" xr3:uid="{5AB4FDA6-9725-4149-9819-0F79E760E7C4}" uniqueName="5" name="Email" queryTableFieldId="5" dataDxfId="11"/>
    <tableColumn id="6" xr3:uid="{F98BACB2-4711-496E-8B80-9E2DF1A63F07}" uniqueName="6" name="Amount" queryTableFieldId="6"/>
    <tableColumn id="7" xr3:uid="{A0F56817-CE38-4FF8-9EAC-AFCC7D715578}" uniqueName="7" name="City" queryTableFieldId="7" dataDxfId="10"/>
    <tableColumn id="8" xr3:uid="{318DDC84-2702-4155-9D08-564630B0E693}" uniqueName="8" name="Gender" queryTableFieldId="8" dataDxfId="9"/>
    <tableColumn id="9" xr3:uid="{8A105C1D-9C86-430F-BA7A-9E3F6D21B5BA}" uniqueName="9" name="Product" queryTableFieldId="9" dataDxfId="8"/>
    <tableColumn id="11" xr3:uid="{A2A68434-7B8C-446E-824C-B98825149DB8}" uniqueName="11" name="4" queryTableFieldId="14" dataDxfId="6">
      <calculatedColumnFormula>IF(Table3_1[[#This Row],[Amount]]&gt;=4000,"large order","small order")</calculatedColumnFormula>
    </tableColumn>
    <tableColumn id="10" xr3:uid="{4B05C657-884B-4D23-9F86-75FFA4BD74FD}" uniqueName="10" name="Status" queryTableFieldId="10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55CE1F-7D25-4DCB-94B8-C13206AEF4A9}" name="Table582" displayName="Table582" ref="S2:U14" totalsRowCount="1">
  <autoFilter ref="S2:U13" xr:uid="{BC55CE1F-7D25-4DCB-94B8-C13206AEF4A9}"/>
  <tableColumns count="3">
    <tableColumn id="2" xr3:uid="{E6576E5C-2C54-4152-BE1A-C79F28CD0A9D}" name="QUESTION"/>
    <tableColumn id="1" xr3:uid="{6842F6C4-2DDF-4278-8C66-DD64520F98DF}" name="ANSWERS" dataDxfId="2" totalsRowDxfId="1">
      <calculatedColumnFormula>SUM(Table3_1[Amount])</calculatedColumnFormula>
    </tableColumn>
    <tableColumn id="4" xr3:uid="{916E43AA-0BA1-4549-889A-80B7AD988DCE}" name="Column1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B8D30F-59B4-43E6-945A-128385DD88B0}" name="Table2" displayName="Table2" ref="W2:Y5" totalsRowShown="0">
  <autoFilter ref="W2:Y5" xr:uid="{3CB8D30F-59B4-43E6-945A-128385DD88B0}"/>
  <tableColumns count="3">
    <tableColumn id="1" xr3:uid="{5E454CE2-F89F-4048-AD3D-EB6C446DC16A}" name="Column1"/>
    <tableColumn id="2" xr3:uid="{B06DA181-C1FC-4D6F-9AF0-565270E9965D}" name="Column2"/>
    <tableColumn id="4" xr3:uid="{9B61F8CD-804C-45F6-A388-9FC1C30D27A9}" name="Column22">
      <calculatedColumnFormula>IF(Table2[[#This Row],[Column2]]&gt;20000,"EXCEED","NOT EXCEED")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BF44A-4F02-45D8-8183-ADB1FFE89745}">
  <dimension ref="A1:J101"/>
  <sheetViews>
    <sheetView zoomScale="86" zoomScaleNormal="86" workbookViewId="0">
      <selection activeCell="L12" sqref="L12"/>
    </sheetView>
  </sheetViews>
  <sheetFormatPr defaultRowHeight="14.5" x14ac:dyDescent="0.35"/>
  <cols>
    <col min="1" max="1" width="7.453125" customWidth="1"/>
    <col min="2" max="2" width="10.36328125" bestFit="1" customWidth="1"/>
    <col min="3" max="3" width="13.08984375" customWidth="1"/>
    <col min="4" max="4" width="13.36328125" customWidth="1"/>
    <col min="5" max="5" width="20.1796875" bestFit="1" customWidth="1"/>
    <col min="6" max="6" width="9.90625" bestFit="1" customWidth="1"/>
    <col min="7" max="7" width="9.26953125" bestFit="1" customWidth="1"/>
    <col min="8" max="8" width="9.7265625" bestFit="1" customWidth="1"/>
    <col min="9" max="9" width="10" customWidth="1"/>
    <col min="10" max="10" width="13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101</v>
      </c>
      <c r="B2" t="s">
        <v>27</v>
      </c>
      <c r="C2" s="1">
        <v>46090</v>
      </c>
      <c r="D2">
        <v>9897989899</v>
      </c>
      <c r="E2" t="s">
        <v>24</v>
      </c>
      <c r="F2">
        <v>3232</v>
      </c>
      <c r="G2" t="s">
        <v>29</v>
      </c>
      <c r="H2" t="s">
        <v>15</v>
      </c>
      <c r="I2" t="s">
        <v>30</v>
      </c>
      <c r="J2" t="s">
        <v>31</v>
      </c>
    </row>
    <row r="3" spans="1:10" x14ac:dyDescent="0.35">
      <c r="A3">
        <v>102</v>
      </c>
      <c r="B3" t="s">
        <v>10</v>
      </c>
      <c r="C3" s="1">
        <v>46088</v>
      </c>
      <c r="D3">
        <v>9558386023</v>
      </c>
      <c r="E3" t="s">
        <v>16</v>
      </c>
      <c r="F3">
        <v>1241</v>
      </c>
      <c r="G3" t="s">
        <v>33</v>
      </c>
      <c r="H3" t="s">
        <v>15</v>
      </c>
      <c r="I3" t="s">
        <v>34</v>
      </c>
      <c r="J3" t="s">
        <v>31</v>
      </c>
    </row>
    <row r="4" spans="1:10" x14ac:dyDescent="0.35">
      <c r="A4">
        <v>103</v>
      </c>
      <c r="B4" t="s">
        <v>35</v>
      </c>
      <c r="C4" s="1">
        <v>46091</v>
      </c>
      <c r="D4">
        <v>9327819786</v>
      </c>
      <c r="E4" t="s">
        <v>37</v>
      </c>
      <c r="F4">
        <v>2877</v>
      </c>
      <c r="G4" t="s">
        <v>38</v>
      </c>
      <c r="H4" t="s">
        <v>15</v>
      </c>
      <c r="I4" t="s">
        <v>34</v>
      </c>
      <c r="J4" t="s">
        <v>39</v>
      </c>
    </row>
    <row r="5" spans="1:10" x14ac:dyDescent="0.35">
      <c r="A5">
        <v>104</v>
      </c>
      <c r="B5" t="s">
        <v>40</v>
      </c>
      <c r="C5" s="1">
        <v>46093</v>
      </c>
      <c r="D5">
        <v>982899679</v>
      </c>
      <c r="E5" t="s">
        <v>41</v>
      </c>
      <c r="F5">
        <v>4578</v>
      </c>
      <c r="G5" t="s">
        <v>38</v>
      </c>
      <c r="H5" t="s">
        <v>15</v>
      </c>
      <c r="I5" t="s">
        <v>42</v>
      </c>
      <c r="J5" t="s">
        <v>39</v>
      </c>
    </row>
    <row r="6" spans="1:10" x14ac:dyDescent="0.35">
      <c r="A6">
        <v>105</v>
      </c>
      <c r="B6" t="s">
        <v>43</v>
      </c>
      <c r="C6" s="1">
        <v>46095</v>
      </c>
      <c r="D6">
        <v>9860772485</v>
      </c>
      <c r="E6" t="s">
        <v>12</v>
      </c>
      <c r="F6">
        <v>3755</v>
      </c>
      <c r="G6" t="s">
        <v>45</v>
      </c>
      <c r="H6" t="s">
        <v>14</v>
      </c>
      <c r="I6" t="s">
        <v>30</v>
      </c>
      <c r="J6" t="s">
        <v>39</v>
      </c>
    </row>
    <row r="7" spans="1:10" x14ac:dyDescent="0.35">
      <c r="A7">
        <v>106</v>
      </c>
      <c r="B7" t="s">
        <v>10</v>
      </c>
      <c r="C7" s="1">
        <v>46089</v>
      </c>
      <c r="D7">
        <v>9712224478</v>
      </c>
      <c r="E7" t="s">
        <v>46</v>
      </c>
      <c r="F7">
        <v>4190</v>
      </c>
      <c r="G7" t="s">
        <v>47</v>
      </c>
      <c r="H7" t="s">
        <v>14</v>
      </c>
      <c r="I7" t="s">
        <v>34</v>
      </c>
      <c r="J7" t="s">
        <v>31</v>
      </c>
    </row>
    <row r="8" spans="1:10" x14ac:dyDescent="0.35">
      <c r="A8">
        <v>107</v>
      </c>
      <c r="B8" t="s">
        <v>27</v>
      </c>
      <c r="C8" s="1">
        <v>46088</v>
      </c>
      <c r="D8">
        <v>9875184380</v>
      </c>
      <c r="E8" t="s">
        <v>48</v>
      </c>
      <c r="F8">
        <v>2058</v>
      </c>
      <c r="G8" t="s">
        <v>49</v>
      </c>
      <c r="H8" t="s">
        <v>15</v>
      </c>
      <c r="I8" t="s">
        <v>34</v>
      </c>
      <c r="J8" t="s">
        <v>31</v>
      </c>
    </row>
    <row r="9" spans="1:10" x14ac:dyDescent="0.35">
      <c r="A9">
        <v>108</v>
      </c>
      <c r="B9" t="s">
        <v>35</v>
      </c>
      <c r="C9" s="1">
        <v>46091</v>
      </c>
      <c r="D9">
        <v>9428520226</v>
      </c>
      <c r="E9" t="s">
        <v>50</v>
      </c>
      <c r="F9">
        <v>4970</v>
      </c>
      <c r="G9" t="s">
        <v>38</v>
      </c>
      <c r="H9" t="s">
        <v>15</v>
      </c>
      <c r="I9" t="s">
        <v>42</v>
      </c>
      <c r="J9" t="s">
        <v>39</v>
      </c>
    </row>
    <row r="10" spans="1:10" x14ac:dyDescent="0.35">
      <c r="A10">
        <v>109</v>
      </c>
      <c r="B10" t="s">
        <v>10</v>
      </c>
      <c r="C10" s="1">
        <v>46092</v>
      </c>
      <c r="D10">
        <v>9321418377</v>
      </c>
      <c r="E10" t="s">
        <v>16</v>
      </c>
      <c r="F10">
        <v>4108</v>
      </c>
      <c r="G10" t="s">
        <v>49</v>
      </c>
      <c r="H10" t="s">
        <v>14</v>
      </c>
      <c r="I10" t="s">
        <v>42</v>
      </c>
      <c r="J10" t="s">
        <v>31</v>
      </c>
    </row>
    <row r="11" spans="1:10" x14ac:dyDescent="0.35">
      <c r="A11">
        <v>110</v>
      </c>
      <c r="B11" t="s">
        <v>17</v>
      </c>
      <c r="C11" s="1">
        <v>46091</v>
      </c>
      <c r="D11">
        <v>952573594</v>
      </c>
      <c r="E11" t="s">
        <v>52</v>
      </c>
      <c r="F11">
        <v>2697</v>
      </c>
      <c r="G11" t="s">
        <v>53</v>
      </c>
      <c r="H11" t="s">
        <v>15</v>
      </c>
      <c r="I11" t="s">
        <v>34</v>
      </c>
      <c r="J11" t="s">
        <v>31</v>
      </c>
    </row>
    <row r="12" spans="1:10" x14ac:dyDescent="0.35">
      <c r="A12">
        <v>111</v>
      </c>
      <c r="B12" t="s">
        <v>43</v>
      </c>
      <c r="C12" s="1">
        <v>46089</v>
      </c>
      <c r="D12">
        <v>9088634</v>
      </c>
      <c r="E12" t="s">
        <v>54</v>
      </c>
      <c r="F12">
        <v>2226</v>
      </c>
      <c r="G12" t="s">
        <v>38</v>
      </c>
      <c r="H12" t="s">
        <v>15</v>
      </c>
      <c r="I12" t="s">
        <v>30</v>
      </c>
      <c r="J12" t="s">
        <v>31</v>
      </c>
    </row>
    <row r="13" spans="1:10" x14ac:dyDescent="0.35">
      <c r="A13">
        <v>112</v>
      </c>
      <c r="B13" t="s">
        <v>55</v>
      </c>
      <c r="C13" s="1">
        <v>46097</v>
      </c>
      <c r="D13">
        <v>9327374620</v>
      </c>
      <c r="E13" t="s">
        <v>57</v>
      </c>
      <c r="F13">
        <v>2141</v>
      </c>
      <c r="G13" t="s">
        <v>18</v>
      </c>
      <c r="H13" t="s">
        <v>15</v>
      </c>
      <c r="I13" t="s">
        <v>34</v>
      </c>
      <c r="J13" t="s">
        <v>31</v>
      </c>
    </row>
    <row r="14" spans="1:10" x14ac:dyDescent="0.35">
      <c r="A14">
        <v>113</v>
      </c>
      <c r="B14" t="s">
        <v>10</v>
      </c>
      <c r="C14" s="1">
        <v>46097</v>
      </c>
      <c r="D14">
        <v>909030091</v>
      </c>
      <c r="E14" t="s">
        <v>46</v>
      </c>
      <c r="F14">
        <v>4944</v>
      </c>
      <c r="G14" t="s">
        <v>49</v>
      </c>
      <c r="H14" t="s">
        <v>15</v>
      </c>
      <c r="I14" t="s">
        <v>34</v>
      </c>
      <c r="J14" t="s">
        <v>39</v>
      </c>
    </row>
    <row r="15" spans="1:10" x14ac:dyDescent="0.35">
      <c r="A15">
        <v>114</v>
      </c>
      <c r="B15" t="s">
        <v>58</v>
      </c>
      <c r="C15" s="1">
        <v>46095</v>
      </c>
      <c r="D15">
        <v>949786321</v>
      </c>
      <c r="E15" t="s">
        <v>19</v>
      </c>
      <c r="F15">
        <v>5223</v>
      </c>
      <c r="G15" t="s">
        <v>49</v>
      </c>
      <c r="H15" t="s">
        <v>15</v>
      </c>
      <c r="I15" t="s">
        <v>42</v>
      </c>
      <c r="J15" t="s">
        <v>31</v>
      </c>
    </row>
    <row r="16" spans="1:10" x14ac:dyDescent="0.35">
      <c r="A16">
        <v>115</v>
      </c>
      <c r="B16" t="s">
        <v>10</v>
      </c>
      <c r="C16" s="1">
        <v>46088</v>
      </c>
      <c r="D16">
        <v>9207171738</v>
      </c>
      <c r="E16" t="s">
        <v>46</v>
      </c>
      <c r="F16">
        <v>5566</v>
      </c>
      <c r="G16" t="s">
        <v>49</v>
      </c>
      <c r="H16" t="s">
        <v>15</v>
      </c>
      <c r="I16" t="s">
        <v>34</v>
      </c>
      <c r="J16" t="s">
        <v>39</v>
      </c>
    </row>
    <row r="17" spans="1:10" x14ac:dyDescent="0.35">
      <c r="A17">
        <v>116</v>
      </c>
      <c r="B17" t="s">
        <v>27</v>
      </c>
      <c r="C17" s="1">
        <v>46092</v>
      </c>
      <c r="D17">
        <v>9560797352</v>
      </c>
      <c r="E17" t="s">
        <v>48</v>
      </c>
      <c r="F17">
        <v>2080</v>
      </c>
      <c r="G17" t="s">
        <v>59</v>
      </c>
      <c r="H17" t="s">
        <v>15</v>
      </c>
      <c r="I17" t="s">
        <v>34</v>
      </c>
      <c r="J17" t="s">
        <v>31</v>
      </c>
    </row>
    <row r="18" spans="1:10" x14ac:dyDescent="0.35">
      <c r="A18">
        <v>117</v>
      </c>
      <c r="B18" t="s">
        <v>43</v>
      </c>
      <c r="C18" s="1">
        <v>46090</v>
      </c>
      <c r="D18">
        <v>9986023765</v>
      </c>
      <c r="E18" t="s">
        <v>12</v>
      </c>
      <c r="F18">
        <v>3548</v>
      </c>
      <c r="G18" t="s">
        <v>45</v>
      </c>
      <c r="H18" t="s">
        <v>14</v>
      </c>
      <c r="I18" t="s">
        <v>34</v>
      </c>
      <c r="J18" t="s">
        <v>39</v>
      </c>
    </row>
    <row r="19" spans="1:10" x14ac:dyDescent="0.35">
      <c r="A19">
        <v>118</v>
      </c>
      <c r="B19" t="s">
        <v>27</v>
      </c>
      <c r="C19" s="1">
        <v>46094</v>
      </c>
      <c r="D19">
        <v>9239533</v>
      </c>
      <c r="E19" t="s">
        <v>24</v>
      </c>
      <c r="F19">
        <v>2991</v>
      </c>
      <c r="G19" t="s">
        <v>18</v>
      </c>
      <c r="H19" t="s">
        <v>15</v>
      </c>
      <c r="I19" t="s">
        <v>42</v>
      </c>
      <c r="J19" t="s">
        <v>31</v>
      </c>
    </row>
    <row r="20" spans="1:10" x14ac:dyDescent="0.35">
      <c r="A20">
        <v>119</v>
      </c>
      <c r="B20" t="s">
        <v>27</v>
      </c>
      <c r="C20" s="1">
        <v>46093</v>
      </c>
      <c r="D20">
        <v>9309635814</v>
      </c>
      <c r="E20" t="s">
        <v>48</v>
      </c>
      <c r="F20">
        <v>3238</v>
      </c>
      <c r="G20" t="s">
        <v>38</v>
      </c>
      <c r="H20" t="s">
        <v>14</v>
      </c>
      <c r="I20" t="s">
        <v>30</v>
      </c>
      <c r="J20" t="s">
        <v>39</v>
      </c>
    </row>
    <row r="21" spans="1:10" x14ac:dyDescent="0.35">
      <c r="A21">
        <v>120</v>
      </c>
      <c r="B21" t="s">
        <v>10</v>
      </c>
      <c r="C21" s="1">
        <v>46089</v>
      </c>
      <c r="D21">
        <v>9587836292</v>
      </c>
      <c r="E21" t="s">
        <v>16</v>
      </c>
      <c r="F21">
        <v>5291</v>
      </c>
      <c r="G21" t="s">
        <v>49</v>
      </c>
      <c r="H21" t="s">
        <v>14</v>
      </c>
      <c r="I21" t="s">
        <v>42</v>
      </c>
      <c r="J21" t="s">
        <v>39</v>
      </c>
    </row>
    <row r="22" spans="1:10" x14ac:dyDescent="0.35">
      <c r="A22">
        <v>121</v>
      </c>
      <c r="B22" t="s">
        <v>43</v>
      </c>
      <c r="C22" s="1">
        <v>46092</v>
      </c>
      <c r="D22">
        <v>9166436490</v>
      </c>
      <c r="E22" t="s">
        <v>12</v>
      </c>
      <c r="F22">
        <v>4925</v>
      </c>
      <c r="G22" t="s">
        <v>53</v>
      </c>
      <c r="H22" t="s">
        <v>15</v>
      </c>
      <c r="I22" t="s">
        <v>30</v>
      </c>
      <c r="J22" t="s">
        <v>31</v>
      </c>
    </row>
    <row r="23" spans="1:10" x14ac:dyDescent="0.35">
      <c r="A23">
        <v>122</v>
      </c>
      <c r="B23" t="s">
        <v>58</v>
      </c>
      <c r="C23" s="1">
        <v>46091</v>
      </c>
      <c r="D23">
        <v>9302112943</v>
      </c>
      <c r="E23" t="s">
        <v>19</v>
      </c>
      <c r="F23">
        <v>5627</v>
      </c>
      <c r="G23" t="s">
        <v>49</v>
      </c>
      <c r="H23" t="s">
        <v>14</v>
      </c>
      <c r="I23" t="s">
        <v>34</v>
      </c>
      <c r="J23" t="s">
        <v>31</v>
      </c>
    </row>
    <row r="24" spans="1:10" x14ac:dyDescent="0.35">
      <c r="A24">
        <v>123</v>
      </c>
      <c r="B24" t="s">
        <v>20</v>
      </c>
      <c r="C24" s="1">
        <v>46095</v>
      </c>
      <c r="D24">
        <v>9651517836</v>
      </c>
      <c r="E24" t="s">
        <v>21</v>
      </c>
      <c r="F24">
        <v>2836</v>
      </c>
      <c r="G24" t="s">
        <v>33</v>
      </c>
      <c r="H24" t="s">
        <v>15</v>
      </c>
      <c r="I24" t="s">
        <v>34</v>
      </c>
      <c r="J24" t="s">
        <v>31</v>
      </c>
    </row>
    <row r="25" spans="1:10" x14ac:dyDescent="0.35">
      <c r="A25">
        <v>124</v>
      </c>
      <c r="B25" t="s">
        <v>61</v>
      </c>
      <c r="C25" s="1">
        <v>46091</v>
      </c>
      <c r="D25">
        <v>9456450560</v>
      </c>
      <c r="E25" t="s">
        <v>22</v>
      </c>
      <c r="F25">
        <v>3540</v>
      </c>
      <c r="G25" t="s">
        <v>38</v>
      </c>
      <c r="H25" t="s">
        <v>15</v>
      </c>
      <c r="I25" t="s">
        <v>34</v>
      </c>
      <c r="J25" t="s">
        <v>31</v>
      </c>
    </row>
    <row r="26" spans="1:10" x14ac:dyDescent="0.35">
      <c r="A26">
        <v>125</v>
      </c>
      <c r="B26" t="s">
        <v>55</v>
      </c>
      <c r="C26" s="1">
        <v>46092</v>
      </c>
      <c r="D26">
        <v>9490687752</v>
      </c>
      <c r="E26" t="s">
        <v>57</v>
      </c>
      <c r="F26">
        <v>4899</v>
      </c>
      <c r="G26" t="s">
        <v>53</v>
      </c>
      <c r="H26" t="s">
        <v>14</v>
      </c>
      <c r="I26" t="s">
        <v>42</v>
      </c>
      <c r="J26" t="s">
        <v>31</v>
      </c>
    </row>
    <row r="27" spans="1:10" x14ac:dyDescent="0.35">
      <c r="A27">
        <v>126</v>
      </c>
      <c r="B27" t="s">
        <v>35</v>
      </c>
      <c r="C27" s="1">
        <v>46092</v>
      </c>
      <c r="D27">
        <v>9026633344</v>
      </c>
      <c r="E27" t="s">
        <v>37</v>
      </c>
      <c r="F27">
        <v>1311</v>
      </c>
      <c r="G27" t="s">
        <v>38</v>
      </c>
      <c r="H27" t="s">
        <v>15</v>
      </c>
      <c r="I27" t="s">
        <v>34</v>
      </c>
      <c r="J27" t="s">
        <v>31</v>
      </c>
    </row>
    <row r="28" spans="1:10" x14ac:dyDescent="0.35">
      <c r="A28">
        <v>127</v>
      </c>
      <c r="B28" t="s">
        <v>61</v>
      </c>
      <c r="C28" s="1">
        <v>46093</v>
      </c>
      <c r="D28">
        <v>9822113157</v>
      </c>
      <c r="E28" t="s">
        <v>62</v>
      </c>
      <c r="F28">
        <v>4303</v>
      </c>
      <c r="G28" t="s">
        <v>63</v>
      </c>
      <c r="H28" t="s">
        <v>14</v>
      </c>
      <c r="I28" t="s">
        <v>34</v>
      </c>
      <c r="J28" t="s">
        <v>31</v>
      </c>
    </row>
    <row r="29" spans="1:10" x14ac:dyDescent="0.35">
      <c r="A29">
        <v>128</v>
      </c>
      <c r="B29" t="s">
        <v>43</v>
      </c>
      <c r="C29" s="1">
        <v>46096</v>
      </c>
      <c r="D29">
        <v>9926148</v>
      </c>
      <c r="E29" t="s">
        <v>12</v>
      </c>
      <c r="F29">
        <v>4510</v>
      </c>
      <c r="G29" t="s">
        <v>29</v>
      </c>
      <c r="H29" t="s">
        <v>15</v>
      </c>
      <c r="I29" t="s">
        <v>30</v>
      </c>
      <c r="J29" t="s">
        <v>31</v>
      </c>
    </row>
    <row r="30" spans="1:10" x14ac:dyDescent="0.35">
      <c r="A30">
        <v>129</v>
      </c>
      <c r="B30" t="s">
        <v>10</v>
      </c>
      <c r="C30" s="1">
        <v>46092</v>
      </c>
      <c r="D30">
        <v>9840168459</v>
      </c>
      <c r="E30" t="s">
        <v>16</v>
      </c>
      <c r="F30">
        <v>1605</v>
      </c>
      <c r="G30" t="s">
        <v>38</v>
      </c>
      <c r="H30" t="s">
        <v>14</v>
      </c>
      <c r="I30" t="s">
        <v>30</v>
      </c>
      <c r="J30" t="s">
        <v>39</v>
      </c>
    </row>
    <row r="31" spans="1:10" x14ac:dyDescent="0.35">
      <c r="A31">
        <v>130</v>
      </c>
      <c r="B31" t="s">
        <v>55</v>
      </c>
      <c r="C31" s="1">
        <v>46097</v>
      </c>
      <c r="D31">
        <v>977876612</v>
      </c>
      <c r="E31" t="s">
        <v>23</v>
      </c>
      <c r="F31">
        <v>4456</v>
      </c>
      <c r="G31" t="s">
        <v>53</v>
      </c>
      <c r="H31" t="s">
        <v>14</v>
      </c>
      <c r="I31" t="s">
        <v>42</v>
      </c>
      <c r="J31" t="s">
        <v>31</v>
      </c>
    </row>
    <row r="32" spans="1:10" x14ac:dyDescent="0.35">
      <c r="A32">
        <v>131</v>
      </c>
      <c r="B32" t="s">
        <v>27</v>
      </c>
      <c r="C32" s="1">
        <v>46088</v>
      </c>
      <c r="D32">
        <v>9006350</v>
      </c>
      <c r="E32" t="s">
        <v>24</v>
      </c>
      <c r="F32">
        <v>3139</v>
      </c>
      <c r="G32" t="s">
        <v>38</v>
      </c>
      <c r="H32" t="s">
        <v>14</v>
      </c>
      <c r="I32" t="s">
        <v>34</v>
      </c>
      <c r="J32" t="s">
        <v>39</v>
      </c>
    </row>
    <row r="33" spans="1:10" x14ac:dyDescent="0.35">
      <c r="A33">
        <v>132</v>
      </c>
      <c r="B33" t="s">
        <v>43</v>
      </c>
      <c r="C33" s="1">
        <v>46091</v>
      </c>
      <c r="D33">
        <v>9357446896</v>
      </c>
      <c r="E33" t="s">
        <v>54</v>
      </c>
      <c r="F33">
        <v>2125</v>
      </c>
      <c r="G33" t="s">
        <v>47</v>
      </c>
      <c r="H33" t="s">
        <v>14</v>
      </c>
      <c r="I33" t="s">
        <v>42</v>
      </c>
      <c r="J33" t="s">
        <v>31</v>
      </c>
    </row>
    <row r="34" spans="1:10" x14ac:dyDescent="0.35">
      <c r="A34">
        <v>133</v>
      </c>
      <c r="B34" t="s">
        <v>40</v>
      </c>
      <c r="C34" s="1">
        <v>46093</v>
      </c>
      <c r="D34">
        <v>9738174111</v>
      </c>
      <c r="E34" t="s">
        <v>41</v>
      </c>
      <c r="F34">
        <v>5414</v>
      </c>
      <c r="G34" t="s">
        <v>63</v>
      </c>
      <c r="H34" t="s">
        <v>14</v>
      </c>
      <c r="I34" t="s">
        <v>34</v>
      </c>
      <c r="J34" t="s">
        <v>31</v>
      </c>
    </row>
    <row r="35" spans="1:10" x14ac:dyDescent="0.35">
      <c r="A35">
        <v>134</v>
      </c>
      <c r="B35" t="s">
        <v>10</v>
      </c>
      <c r="C35" s="1">
        <v>46095</v>
      </c>
      <c r="D35">
        <v>9082092328</v>
      </c>
      <c r="E35" t="s">
        <v>16</v>
      </c>
      <c r="F35">
        <v>3078</v>
      </c>
      <c r="G35" t="s">
        <v>53</v>
      </c>
      <c r="H35" t="s">
        <v>14</v>
      </c>
      <c r="I35" t="s">
        <v>34</v>
      </c>
      <c r="J35" t="s">
        <v>31</v>
      </c>
    </row>
    <row r="36" spans="1:10" x14ac:dyDescent="0.35">
      <c r="A36">
        <v>135</v>
      </c>
      <c r="B36" t="s">
        <v>61</v>
      </c>
      <c r="C36" s="1">
        <v>46088</v>
      </c>
      <c r="D36">
        <v>9333438882</v>
      </c>
      <c r="E36" t="s">
        <v>62</v>
      </c>
      <c r="F36">
        <v>3180</v>
      </c>
      <c r="G36" t="s">
        <v>63</v>
      </c>
      <c r="H36" t="s">
        <v>14</v>
      </c>
      <c r="I36" t="s">
        <v>30</v>
      </c>
      <c r="J36" t="s">
        <v>31</v>
      </c>
    </row>
    <row r="37" spans="1:10" x14ac:dyDescent="0.35">
      <c r="A37">
        <v>136</v>
      </c>
      <c r="B37" t="s">
        <v>17</v>
      </c>
      <c r="C37" s="1">
        <v>46095</v>
      </c>
      <c r="D37">
        <v>9460696530</v>
      </c>
      <c r="E37" t="s">
        <v>52</v>
      </c>
      <c r="F37">
        <v>1284</v>
      </c>
      <c r="G37" t="s">
        <v>38</v>
      </c>
      <c r="H37" t="s">
        <v>15</v>
      </c>
      <c r="I37" t="s">
        <v>34</v>
      </c>
      <c r="J37" t="s">
        <v>39</v>
      </c>
    </row>
    <row r="38" spans="1:10" x14ac:dyDescent="0.35">
      <c r="A38">
        <v>137</v>
      </c>
      <c r="B38" t="s">
        <v>61</v>
      </c>
      <c r="C38" s="1">
        <v>46092</v>
      </c>
      <c r="D38">
        <v>9872943352</v>
      </c>
      <c r="E38" t="s">
        <v>62</v>
      </c>
      <c r="F38">
        <v>4441</v>
      </c>
      <c r="G38" t="s">
        <v>47</v>
      </c>
      <c r="H38" t="s">
        <v>14</v>
      </c>
      <c r="I38" t="s">
        <v>34</v>
      </c>
      <c r="J38" t="s">
        <v>31</v>
      </c>
    </row>
    <row r="39" spans="1:10" x14ac:dyDescent="0.35">
      <c r="A39">
        <v>138</v>
      </c>
      <c r="B39" t="s">
        <v>55</v>
      </c>
      <c r="C39" s="1">
        <v>46095</v>
      </c>
      <c r="D39">
        <v>9859265079</v>
      </c>
      <c r="E39" t="s">
        <v>23</v>
      </c>
      <c r="F39">
        <v>3970</v>
      </c>
      <c r="G39" t="s">
        <v>38</v>
      </c>
      <c r="H39" t="s">
        <v>15</v>
      </c>
      <c r="I39" t="s">
        <v>42</v>
      </c>
      <c r="J39" t="s">
        <v>39</v>
      </c>
    </row>
    <row r="40" spans="1:10" x14ac:dyDescent="0.35">
      <c r="A40">
        <v>139</v>
      </c>
      <c r="B40" t="s">
        <v>43</v>
      </c>
      <c r="C40" s="1">
        <v>46095</v>
      </c>
      <c r="D40">
        <v>9263915681</v>
      </c>
      <c r="E40" t="s">
        <v>54</v>
      </c>
      <c r="F40">
        <v>3073</v>
      </c>
      <c r="G40" t="s">
        <v>63</v>
      </c>
      <c r="H40" t="s">
        <v>15</v>
      </c>
      <c r="I40" t="s">
        <v>34</v>
      </c>
      <c r="J40" t="s">
        <v>31</v>
      </c>
    </row>
    <row r="41" spans="1:10" x14ac:dyDescent="0.35">
      <c r="A41">
        <v>140</v>
      </c>
      <c r="B41" t="s">
        <v>20</v>
      </c>
      <c r="C41" s="1">
        <v>46097</v>
      </c>
      <c r="D41">
        <v>9156822905</v>
      </c>
      <c r="E41" t="s">
        <v>65</v>
      </c>
      <c r="F41">
        <v>4641</v>
      </c>
      <c r="G41" t="s">
        <v>53</v>
      </c>
      <c r="H41" t="s">
        <v>14</v>
      </c>
      <c r="I41" t="s">
        <v>34</v>
      </c>
      <c r="J41" t="s">
        <v>31</v>
      </c>
    </row>
    <row r="42" spans="1:10" x14ac:dyDescent="0.35">
      <c r="A42">
        <v>141</v>
      </c>
      <c r="B42" t="s">
        <v>20</v>
      </c>
      <c r="C42" s="1">
        <v>46089</v>
      </c>
      <c r="D42">
        <v>9891611996</v>
      </c>
      <c r="E42" t="s">
        <v>21</v>
      </c>
      <c r="F42">
        <v>5876</v>
      </c>
      <c r="G42" t="s">
        <v>45</v>
      </c>
      <c r="H42" t="s">
        <v>15</v>
      </c>
      <c r="I42" t="s">
        <v>30</v>
      </c>
      <c r="J42" t="s">
        <v>39</v>
      </c>
    </row>
    <row r="43" spans="1:10" x14ac:dyDescent="0.35">
      <c r="A43">
        <v>142</v>
      </c>
      <c r="B43" t="s">
        <v>43</v>
      </c>
      <c r="C43" s="1">
        <v>46095</v>
      </c>
      <c r="D43">
        <v>9012677101</v>
      </c>
      <c r="E43" t="s">
        <v>54</v>
      </c>
      <c r="F43">
        <v>1628</v>
      </c>
      <c r="G43" t="s">
        <v>29</v>
      </c>
      <c r="H43" t="s">
        <v>14</v>
      </c>
      <c r="I43" t="s">
        <v>30</v>
      </c>
      <c r="J43" t="s">
        <v>31</v>
      </c>
    </row>
    <row r="44" spans="1:10" x14ac:dyDescent="0.35">
      <c r="A44">
        <v>143</v>
      </c>
      <c r="B44" t="s">
        <v>17</v>
      </c>
      <c r="C44" s="1">
        <v>46092</v>
      </c>
      <c r="D44">
        <v>9225284756</v>
      </c>
      <c r="E44" t="s">
        <v>52</v>
      </c>
      <c r="F44">
        <v>1698</v>
      </c>
      <c r="G44" t="s">
        <v>53</v>
      </c>
      <c r="H44" t="s">
        <v>14</v>
      </c>
      <c r="I44" t="s">
        <v>42</v>
      </c>
      <c r="J44" t="s">
        <v>31</v>
      </c>
    </row>
    <row r="45" spans="1:10" x14ac:dyDescent="0.35">
      <c r="A45">
        <v>144</v>
      </c>
      <c r="B45" t="s">
        <v>55</v>
      </c>
      <c r="C45" s="1">
        <v>46096</v>
      </c>
      <c r="D45">
        <v>9869353</v>
      </c>
      <c r="E45" t="s">
        <v>23</v>
      </c>
      <c r="F45">
        <v>1112</v>
      </c>
      <c r="G45" t="s">
        <v>63</v>
      </c>
      <c r="H45" t="s">
        <v>14</v>
      </c>
      <c r="I45" t="s">
        <v>34</v>
      </c>
      <c r="J45" t="s">
        <v>31</v>
      </c>
    </row>
    <row r="46" spans="1:10" x14ac:dyDescent="0.35">
      <c r="A46">
        <v>145</v>
      </c>
      <c r="B46" t="s">
        <v>40</v>
      </c>
      <c r="C46" s="1">
        <v>46092</v>
      </c>
      <c r="D46">
        <v>9805601</v>
      </c>
      <c r="E46" t="s">
        <v>25</v>
      </c>
      <c r="F46">
        <v>3852</v>
      </c>
      <c r="G46" t="s">
        <v>59</v>
      </c>
      <c r="H46" t="s">
        <v>14</v>
      </c>
      <c r="I46" t="s">
        <v>34</v>
      </c>
      <c r="J46" t="s">
        <v>31</v>
      </c>
    </row>
    <row r="47" spans="1:10" x14ac:dyDescent="0.35">
      <c r="A47">
        <v>146</v>
      </c>
      <c r="B47" t="s">
        <v>20</v>
      </c>
      <c r="C47" s="1">
        <v>46089</v>
      </c>
      <c r="D47">
        <v>9109926</v>
      </c>
      <c r="E47" t="s">
        <v>21</v>
      </c>
      <c r="F47">
        <v>1207</v>
      </c>
      <c r="G47" t="s">
        <v>59</v>
      </c>
      <c r="H47" t="s">
        <v>14</v>
      </c>
      <c r="I47" t="s">
        <v>34</v>
      </c>
      <c r="J47" t="s">
        <v>39</v>
      </c>
    </row>
    <row r="48" spans="1:10" x14ac:dyDescent="0.35">
      <c r="A48">
        <v>147</v>
      </c>
      <c r="B48" t="s">
        <v>10</v>
      </c>
      <c r="C48" s="1">
        <v>46092</v>
      </c>
      <c r="D48">
        <v>9438339</v>
      </c>
      <c r="E48" t="s">
        <v>46</v>
      </c>
      <c r="F48">
        <v>4880</v>
      </c>
      <c r="G48" t="s">
        <v>45</v>
      </c>
      <c r="H48" t="s">
        <v>15</v>
      </c>
      <c r="I48" t="s">
        <v>30</v>
      </c>
      <c r="J48" t="s">
        <v>39</v>
      </c>
    </row>
    <row r="49" spans="1:10" x14ac:dyDescent="0.35">
      <c r="A49">
        <v>148</v>
      </c>
      <c r="B49" t="s">
        <v>27</v>
      </c>
      <c r="C49" s="1">
        <v>46096</v>
      </c>
      <c r="D49">
        <v>9524842042</v>
      </c>
      <c r="E49" t="s">
        <v>24</v>
      </c>
      <c r="F49">
        <v>1528</v>
      </c>
      <c r="G49" t="s">
        <v>49</v>
      </c>
      <c r="H49" t="s">
        <v>14</v>
      </c>
      <c r="I49" t="s">
        <v>42</v>
      </c>
      <c r="J49" t="s">
        <v>39</v>
      </c>
    </row>
    <row r="50" spans="1:10" x14ac:dyDescent="0.35">
      <c r="A50">
        <v>149</v>
      </c>
      <c r="B50" t="s">
        <v>27</v>
      </c>
      <c r="C50" s="1">
        <v>46092</v>
      </c>
      <c r="D50">
        <v>903145191</v>
      </c>
      <c r="E50" t="s">
        <v>24</v>
      </c>
      <c r="F50">
        <v>5787</v>
      </c>
      <c r="G50" t="s">
        <v>53</v>
      </c>
      <c r="H50" t="s">
        <v>15</v>
      </c>
      <c r="I50" t="s">
        <v>34</v>
      </c>
      <c r="J50" t="s">
        <v>31</v>
      </c>
    </row>
    <row r="51" spans="1:10" x14ac:dyDescent="0.35">
      <c r="A51">
        <v>150</v>
      </c>
      <c r="B51" t="s">
        <v>43</v>
      </c>
      <c r="C51" s="1">
        <v>46095</v>
      </c>
      <c r="D51">
        <v>9506620655</v>
      </c>
      <c r="E51" t="s">
        <v>12</v>
      </c>
      <c r="F51">
        <v>3569</v>
      </c>
      <c r="G51" t="s">
        <v>53</v>
      </c>
      <c r="H51" t="s">
        <v>15</v>
      </c>
      <c r="I51" t="s">
        <v>42</v>
      </c>
      <c r="J51" t="s">
        <v>31</v>
      </c>
    </row>
    <row r="52" spans="1:10" x14ac:dyDescent="0.35">
      <c r="A52">
        <v>151</v>
      </c>
      <c r="B52" t="s">
        <v>40</v>
      </c>
      <c r="C52" s="1">
        <v>46095</v>
      </c>
      <c r="D52">
        <v>9386610</v>
      </c>
      <c r="E52" t="s">
        <v>25</v>
      </c>
      <c r="F52">
        <v>3625</v>
      </c>
      <c r="G52" t="s">
        <v>38</v>
      </c>
      <c r="H52" t="s">
        <v>14</v>
      </c>
      <c r="I52" t="s">
        <v>34</v>
      </c>
      <c r="J52" t="s">
        <v>39</v>
      </c>
    </row>
    <row r="53" spans="1:10" x14ac:dyDescent="0.35">
      <c r="A53">
        <v>152</v>
      </c>
      <c r="B53" t="s">
        <v>27</v>
      </c>
      <c r="C53" s="1">
        <v>46094</v>
      </c>
      <c r="D53">
        <v>9890682062</v>
      </c>
      <c r="E53" t="s">
        <v>24</v>
      </c>
      <c r="F53">
        <v>3493</v>
      </c>
      <c r="G53" t="s">
        <v>29</v>
      </c>
      <c r="H53" t="s">
        <v>14</v>
      </c>
      <c r="I53" t="s">
        <v>34</v>
      </c>
      <c r="J53" t="s">
        <v>31</v>
      </c>
    </row>
    <row r="54" spans="1:10" x14ac:dyDescent="0.35">
      <c r="A54">
        <v>153</v>
      </c>
      <c r="B54" t="s">
        <v>40</v>
      </c>
      <c r="C54" s="1">
        <v>46092</v>
      </c>
      <c r="D54">
        <v>9389815662</v>
      </c>
      <c r="E54" t="s">
        <v>41</v>
      </c>
      <c r="F54">
        <v>4040</v>
      </c>
      <c r="G54" t="s">
        <v>18</v>
      </c>
      <c r="H54" t="s">
        <v>15</v>
      </c>
      <c r="I54" t="s">
        <v>34</v>
      </c>
      <c r="J54" t="s">
        <v>31</v>
      </c>
    </row>
    <row r="55" spans="1:10" x14ac:dyDescent="0.35">
      <c r="A55">
        <v>154</v>
      </c>
      <c r="B55" t="s">
        <v>40</v>
      </c>
      <c r="C55" s="1">
        <v>46091</v>
      </c>
      <c r="D55">
        <v>9267138230</v>
      </c>
      <c r="E55" t="s">
        <v>25</v>
      </c>
      <c r="F55">
        <v>3859</v>
      </c>
      <c r="G55" t="s">
        <v>33</v>
      </c>
      <c r="H55" t="s">
        <v>14</v>
      </c>
      <c r="I55" t="s">
        <v>30</v>
      </c>
      <c r="J55" t="s">
        <v>31</v>
      </c>
    </row>
    <row r="56" spans="1:10" x14ac:dyDescent="0.35">
      <c r="A56">
        <v>155</v>
      </c>
      <c r="B56" t="s">
        <v>58</v>
      </c>
      <c r="C56" s="1">
        <v>46092</v>
      </c>
      <c r="D56">
        <v>929144428</v>
      </c>
      <c r="E56" t="s">
        <v>66</v>
      </c>
      <c r="F56">
        <v>4469</v>
      </c>
      <c r="G56" t="s">
        <v>38</v>
      </c>
      <c r="H56" t="s">
        <v>15</v>
      </c>
      <c r="I56" t="s">
        <v>30</v>
      </c>
      <c r="J56" t="s">
        <v>39</v>
      </c>
    </row>
    <row r="57" spans="1:10" x14ac:dyDescent="0.35">
      <c r="A57">
        <v>156</v>
      </c>
      <c r="B57" t="s">
        <v>27</v>
      </c>
      <c r="C57" s="1">
        <v>46088</v>
      </c>
      <c r="D57">
        <v>9154731027</v>
      </c>
      <c r="E57" t="s">
        <v>48</v>
      </c>
      <c r="F57">
        <v>2501</v>
      </c>
      <c r="G57" t="s">
        <v>49</v>
      </c>
      <c r="H57" t="s">
        <v>14</v>
      </c>
      <c r="I57" t="s">
        <v>42</v>
      </c>
      <c r="J57" t="s">
        <v>31</v>
      </c>
    </row>
    <row r="58" spans="1:10" x14ac:dyDescent="0.35">
      <c r="A58">
        <v>157</v>
      </c>
      <c r="B58" t="s">
        <v>17</v>
      </c>
      <c r="C58" s="1">
        <v>46094</v>
      </c>
      <c r="D58">
        <v>9153895</v>
      </c>
      <c r="E58" t="s">
        <v>52</v>
      </c>
      <c r="F58">
        <v>3837</v>
      </c>
      <c r="G58" t="s">
        <v>47</v>
      </c>
      <c r="H58" t="s">
        <v>14</v>
      </c>
      <c r="I58" t="s">
        <v>42</v>
      </c>
      <c r="J58" t="s">
        <v>31</v>
      </c>
    </row>
    <row r="59" spans="1:10" x14ac:dyDescent="0.35">
      <c r="A59">
        <v>158</v>
      </c>
      <c r="B59" t="s">
        <v>10</v>
      </c>
      <c r="C59" s="1">
        <v>46090</v>
      </c>
      <c r="D59">
        <v>9744320428</v>
      </c>
      <c r="E59" t="s">
        <v>46</v>
      </c>
      <c r="F59">
        <v>3912</v>
      </c>
      <c r="G59" t="s">
        <v>47</v>
      </c>
      <c r="H59" t="s">
        <v>14</v>
      </c>
      <c r="I59" t="s">
        <v>30</v>
      </c>
      <c r="J59" t="s">
        <v>39</v>
      </c>
    </row>
    <row r="60" spans="1:10" x14ac:dyDescent="0.35">
      <c r="A60">
        <v>159</v>
      </c>
      <c r="B60" t="s">
        <v>20</v>
      </c>
      <c r="C60" s="1">
        <v>46088</v>
      </c>
      <c r="D60">
        <v>9153330970</v>
      </c>
      <c r="E60" t="s">
        <v>21</v>
      </c>
      <c r="F60">
        <v>3306</v>
      </c>
      <c r="G60" t="s">
        <v>18</v>
      </c>
      <c r="H60" t="s">
        <v>14</v>
      </c>
      <c r="I60" t="s">
        <v>42</v>
      </c>
      <c r="J60" t="s">
        <v>31</v>
      </c>
    </row>
    <row r="61" spans="1:10" x14ac:dyDescent="0.35">
      <c r="A61">
        <v>160</v>
      </c>
      <c r="B61" t="s">
        <v>17</v>
      </c>
      <c r="C61" s="1">
        <v>46089</v>
      </c>
      <c r="D61">
        <v>9532351903</v>
      </c>
      <c r="E61" t="s">
        <v>26</v>
      </c>
      <c r="F61">
        <v>4193</v>
      </c>
      <c r="G61" t="s">
        <v>29</v>
      </c>
      <c r="H61" t="s">
        <v>14</v>
      </c>
      <c r="I61" t="s">
        <v>34</v>
      </c>
      <c r="J61" t="s">
        <v>31</v>
      </c>
    </row>
    <row r="62" spans="1:10" x14ac:dyDescent="0.35">
      <c r="A62">
        <v>161</v>
      </c>
      <c r="B62" t="s">
        <v>61</v>
      </c>
      <c r="C62" s="1">
        <v>46091</v>
      </c>
      <c r="D62">
        <v>9105888</v>
      </c>
      <c r="E62" t="s">
        <v>62</v>
      </c>
      <c r="F62">
        <v>2459</v>
      </c>
      <c r="G62" t="s">
        <v>49</v>
      </c>
      <c r="H62" t="s">
        <v>14</v>
      </c>
      <c r="I62" t="s">
        <v>30</v>
      </c>
      <c r="J62" t="s">
        <v>31</v>
      </c>
    </row>
    <row r="63" spans="1:10" x14ac:dyDescent="0.35">
      <c r="A63">
        <v>162</v>
      </c>
      <c r="B63" t="s">
        <v>55</v>
      </c>
      <c r="C63" s="1">
        <v>46089</v>
      </c>
      <c r="D63">
        <v>9515621272</v>
      </c>
      <c r="E63" t="s">
        <v>57</v>
      </c>
      <c r="F63">
        <v>3148</v>
      </c>
      <c r="G63" t="s">
        <v>63</v>
      </c>
      <c r="H63" t="s">
        <v>15</v>
      </c>
      <c r="I63" t="s">
        <v>34</v>
      </c>
      <c r="J63" t="s">
        <v>31</v>
      </c>
    </row>
    <row r="64" spans="1:10" x14ac:dyDescent="0.35">
      <c r="A64">
        <v>163</v>
      </c>
      <c r="B64" t="s">
        <v>40</v>
      </c>
      <c r="C64" s="1">
        <v>46088</v>
      </c>
      <c r="D64">
        <v>9812166804</v>
      </c>
      <c r="E64" t="s">
        <v>41</v>
      </c>
      <c r="F64">
        <v>4108</v>
      </c>
      <c r="G64" t="s">
        <v>63</v>
      </c>
      <c r="H64" t="s">
        <v>15</v>
      </c>
      <c r="I64" t="s">
        <v>42</v>
      </c>
      <c r="J64" t="s">
        <v>31</v>
      </c>
    </row>
    <row r="65" spans="1:10" x14ac:dyDescent="0.35">
      <c r="A65">
        <v>164</v>
      </c>
      <c r="B65" t="s">
        <v>61</v>
      </c>
      <c r="C65" s="1">
        <v>46090</v>
      </c>
      <c r="D65">
        <v>9641124760</v>
      </c>
      <c r="E65" t="s">
        <v>62</v>
      </c>
      <c r="F65">
        <v>4939</v>
      </c>
      <c r="G65" t="s">
        <v>18</v>
      </c>
      <c r="H65" t="s">
        <v>15</v>
      </c>
      <c r="I65" t="s">
        <v>34</v>
      </c>
      <c r="J65" t="s">
        <v>31</v>
      </c>
    </row>
    <row r="66" spans="1:10" x14ac:dyDescent="0.35">
      <c r="A66">
        <v>165</v>
      </c>
      <c r="B66" t="s">
        <v>35</v>
      </c>
      <c r="C66" s="1">
        <v>46097</v>
      </c>
      <c r="D66">
        <v>991849737</v>
      </c>
      <c r="E66" t="s">
        <v>37</v>
      </c>
      <c r="F66">
        <v>2240</v>
      </c>
      <c r="G66" t="s">
        <v>33</v>
      </c>
      <c r="H66" t="s">
        <v>15</v>
      </c>
      <c r="I66" t="s">
        <v>30</v>
      </c>
      <c r="J66" t="s">
        <v>39</v>
      </c>
    </row>
    <row r="67" spans="1:10" x14ac:dyDescent="0.35">
      <c r="A67">
        <v>166</v>
      </c>
      <c r="B67" t="s">
        <v>17</v>
      </c>
      <c r="C67" s="1">
        <v>46095</v>
      </c>
      <c r="D67">
        <v>9754213224</v>
      </c>
      <c r="E67" t="s">
        <v>26</v>
      </c>
      <c r="F67">
        <v>4033</v>
      </c>
      <c r="G67" t="s">
        <v>29</v>
      </c>
      <c r="H67" t="s">
        <v>15</v>
      </c>
      <c r="I67" t="s">
        <v>42</v>
      </c>
      <c r="J67" t="s">
        <v>39</v>
      </c>
    </row>
    <row r="68" spans="1:10" x14ac:dyDescent="0.35">
      <c r="A68">
        <v>167</v>
      </c>
      <c r="B68" t="s">
        <v>17</v>
      </c>
      <c r="C68" s="1">
        <v>46096</v>
      </c>
      <c r="D68">
        <v>9839108465</v>
      </c>
      <c r="E68" t="s">
        <v>26</v>
      </c>
      <c r="F68">
        <v>4553</v>
      </c>
      <c r="G68" t="s">
        <v>18</v>
      </c>
      <c r="H68" t="s">
        <v>15</v>
      </c>
      <c r="I68" t="s">
        <v>34</v>
      </c>
      <c r="J68" t="s">
        <v>31</v>
      </c>
    </row>
    <row r="69" spans="1:10" x14ac:dyDescent="0.35">
      <c r="A69">
        <v>168</v>
      </c>
      <c r="B69" t="s">
        <v>27</v>
      </c>
      <c r="C69" s="1">
        <v>46090</v>
      </c>
      <c r="D69">
        <v>985902257</v>
      </c>
      <c r="E69" t="s">
        <v>48</v>
      </c>
      <c r="F69">
        <v>3490</v>
      </c>
      <c r="G69" t="s">
        <v>45</v>
      </c>
      <c r="H69" t="s">
        <v>15</v>
      </c>
      <c r="I69" t="s">
        <v>30</v>
      </c>
      <c r="J69" t="s">
        <v>39</v>
      </c>
    </row>
    <row r="70" spans="1:10" x14ac:dyDescent="0.35">
      <c r="A70">
        <v>169</v>
      </c>
      <c r="B70" t="s">
        <v>10</v>
      </c>
      <c r="C70" s="1">
        <v>46091</v>
      </c>
      <c r="D70">
        <v>923355790</v>
      </c>
      <c r="E70" t="s">
        <v>16</v>
      </c>
      <c r="F70">
        <v>2519</v>
      </c>
      <c r="G70" t="s">
        <v>38</v>
      </c>
      <c r="H70" t="s">
        <v>15</v>
      </c>
      <c r="I70" t="s">
        <v>42</v>
      </c>
      <c r="J70" t="s">
        <v>39</v>
      </c>
    </row>
    <row r="71" spans="1:10" x14ac:dyDescent="0.35">
      <c r="A71">
        <v>170</v>
      </c>
      <c r="B71" t="s">
        <v>20</v>
      </c>
      <c r="C71" s="1">
        <v>46094</v>
      </c>
      <c r="D71">
        <v>9070710</v>
      </c>
      <c r="E71" t="s">
        <v>21</v>
      </c>
      <c r="F71">
        <v>3604</v>
      </c>
      <c r="G71" t="s">
        <v>33</v>
      </c>
      <c r="H71" t="s">
        <v>14</v>
      </c>
      <c r="I71" t="s">
        <v>42</v>
      </c>
      <c r="J71" t="s">
        <v>31</v>
      </c>
    </row>
    <row r="72" spans="1:10" x14ac:dyDescent="0.35">
      <c r="A72">
        <v>171</v>
      </c>
      <c r="B72" t="s">
        <v>17</v>
      </c>
      <c r="C72" s="1">
        <v>46091</v>
      </c>
      <c r="D72">
        <v>9278752212</v>
      </c>
      <c r="E72" t="s">
        <v>52</v>
      </c>
      <c r="F72">
        <v>4843</v>
      </c>
      <c r="G72" t="s">
        <v>59</v>
      </c>
      <c r="H72" t="s">
        <v>14</v>
      </c>
      <c r="I72" t="s">
        <v>30</v>
      </c>
      <c r="J72" t="s">
        <v>31</v>
      </c>
    </row>
    <row r="73" spans="1:10" x14ac:dyDescent="0.35">
      <c r="A73">
        <v>172</v>
      </c>
      <c r="B73" t="s">
        <v>17</v>
      </c>
      <c r="C73" s="1">
        <v>46091</v>
      </c>
      <c r="D73">
        <v>9394997205</v>
      </c>
      <c r="E73" t="s">
        <v>52</v>
      </c>
      <c r="F73">
        <v>4338</v>
      </c>
      <c r="G73" t="s">
        <v>38</v>
      </c>
      <c r="H73" t="s">
        <v>14</v>
      </c>
      <c r="I73" t="s">
        <v>34</v>
      </c>
      <c r="J73" t="s">
        <v>31</v>
      </c>
    </row>
    <row r="74" spans="1:10" x14ac:dyDescent="0.35">
      <c r="A74">
        <v>173</v>
      </c>
      <c r="B74" t="s">
        <v>43</v>
      </c>
      <c r="C74" s="1">
        <v>46097</v>
      </c>
      <c r="D74">
        <v>9085162705</v>
      </c>
      <c r="E74" t="s">
        <v>54</v>
      </c>
      <c r="F74">
        <v>1068</v>
      </c>
      <c r="G74" t="s">
        <v>59</v>
      </c>
      <c r="H74" t="s">
        <v>15</v>
      </c>
      <c r="I74" t="s">
        <v>30</v>
      </c>
      <c r="J74" t="s">
        <v>31</v>
      </c>
    </row>
    <row r="75" spans="1:10" x14ac:dyDescent="0.35">
      <c r="A75">
        <v>174</v>
      </c>
      <c r="B75" t="s">
        <v>17</v>
      </c>
      <c r="C75" s="1">
        <v>46090</v>
      </c>
      <c r="D75">
        <v>928555047</v>
      </c>
      <c r="E75" t="s">
        <v>52</v>
      </c>
      <c r="F75">
        <v>3191</v>
      </c>
      <c r="G75" t="s">
        <v>33</v>
      </c>
      <c r="H75" t="s">
        <v>14</v>
      </c>
      <c r="I75" t="s">
        <v>34</v>
      </c>
      <c r="J75" t="s">
        <v>31</v>
      </c>
    </row>
    <row r="76" spans="1:10" x14ac:dyDescent="0.35">
      <c r="A76">
        <v>175</v>
      </c>
      <c r="B76" t="s">
        <v>40</v>
      </c>
      <c r="C76" s="1">
        <v>46091</v>
      </c>
      <c r="D76">
        <v>997871767</v>
      </c>
      <c r="E76" t="s">
        <v>25</v>
      </c>
      <c r="F76">
        <v>4110</v>
      </c>
      <c r="G76" t="s">
        <v>49</v>
      </c>
      <c r="H76" t="s">
        <v>15</v>
      </c>
      <c r="I76" t="s">
        <v>34</v>
      </c>
      <c r="J76" t="s">
        <v>39</v>
      </c>
    </row>
    <row r="77" spans="1:10" x14ac:dyDescent="0.35">
      <c r="A77">
        <v>176</v>
      </c>
      <c r="B77" t="s">
        <v>17</v>
      </c>
      <c r="C77" s="1">
        <v>46094</v>
      </c>
      <c r="D77">
        <v>970581993</v>
      </c>
      <c r="E77" t="s">
        <v>26</v>
      </c>
      <c r="F77">
        <v>3853</v>
      </c>
      <c r="G77" t="s">
        <v>33</v>
      </c>
      <c r="H77" t="s">
        <v>14</v>
      </c>
      <c r="I77" t="s">
        <v>34</v>
      </c>
      <c r="J77" t="s">
        <v>31</v>
      </c>
    </row>
    <row r="78" spans="1:10" x14ac:dyDescent="0.35">
      <c r="A78">
        <v>177</v>
      </c>
      <c r="B78" t="s">
        <v>43</v>
      </c>
      <c r="C78" s="1">
        <v>46088</v>
      </c>
      <c r="D78">
        <v>9219428529</v>
      </c>
      <c r="E78" t="s">
        <v>12</v>
      </c>
      <c r="F78">
        <v>2190</v>
      </c>
      <c r="G78" t="s">
        <v>49</v>
      </c>
      <c r="H78" t="s">
        <v>14</v>
      </c>
      <c r="I78" t="s">
        <v>34</v>
      </c>
      <c r="J78" t="s">
        <v>31</v>
      </c>
    </row>
    <row r="79" spans="1:10" x14ac:dyDescent="0.35">
      <c r="A79">
        <v>178</v>
      </c>
      <c r="B79" t="s">
        <v>27</v>
      </c>
      <c r="C79" s="1">
        <v>46097</v>
      </c>
      <c r="D79">
        <v>9013776718</v>
      </c>
      <c r="E79" t="s">
        <v>48</v>
      </c>
      <c r="F79">
        <v>2099</v>
      </c>
      <c r="G79" t="s">
        <v>63</v>
      </c>
      <c r="H79" t="s">
        <v>14</v>
      </c>
      <c r="I79" t="s">
        <v>34</v>
      </c>
      <c r="J79" t="s">
        <v>31</v>
      </c>
    </row>
    <row r="80" spans="1:10" x14ac:dyDescent="0.35">
      <c r="A80">
        <v>179</v>
      </c>
      <c r="B80" t="s">
        <v>61</v>
      </c>
      <c r="C80" s="1">
        <v>46090</v>
      </c>
      <c r="D80">
        <v>903189690</v>
      </c>
      <c r="E80" t="s">
        <v>62</v>
      </c>
      <c r="F80">
        <v>2129</v>
      </c>
      <c r="G80" t="s">
        <v>47</v>
      </c>
      <c r="H80" t="s">
        <v>14</v>
      </c>
      <c r="I80" t="s">
        <v>34</v>
      </c>
      <c r="J80" t="s">
        <v>31</v>
      </c>
    </row>
    <row r="81" spans="1:10" x14ac:dyDescent="0.35">
      <c r="A81">
        <v>180</v>
      </c>
      <c r="B81" t="s">
        <v>20</v>
      </c>
      <c r="C81" s="1">
        <v>46096</v>
      </c>
      <c r="D81">
        <v>9127419556</v>
      </c>
      <c r="E81" t="s">
        <v>65</v>
      </c>
      <c r="F81">
        <v>1650</v>
      </c>
      <c r="G81" t="s">
        <v>18</v>
      </c>
      <c r="H81" t="s">
        <v>15</v>
      </c>
      <c r="I81" t="s">
        <v>30</v>
      </c>
      <c r="J81" t="s">
        <v>39</v>
      </c>
    </row>
    <row r="82" spans="1:10" x14ac:dyDescent="0.35">
      <c r="A82">
        <v>181</v>
      </c>
      <c r="B82" t="s">
        <v>17</v>
      </c>
      <c r="C82" s="1">
        <v>46090</v>
      </c>
      <c r="D82">
        <v>9296213171</v>
      </c>
      <c r="E82" t="s">
        <v>52</v>
      </c>
      <c r="F82">
        <v>5634</v>
      </c>
      <c r="G82" t="s">
        <v>49</v>
      </c>
      <c r="H82" t="s">
        <v>14</v>
      </c>
      <c r="I82" t="s">
        <v>30</v>
      </c>
      <c r="J82" t="s">
        <v>39</v>
      </c>
    </row>
    <row r="83" spans="1:10" x14ac:dyDescent="0.35">
      <c r="A83">
        <v>182</v>
      </c>
      <c r="B83" t="s">
        <v>40</v>
      </c>
      <c r="C83" s="1">
        <v>46097</v>
      </c>
      <c r="D83">
        <v>9343320973</v>
      </c>
      <c r="E83" t="s">
        <v>25</v>
      </c>
      <c r="F83">
        <v>1863</v>
      </c>
      <c r="G83" t="s">
        <v>53</v>
      </c>
      <c r="H83" t="s">
        <v>15</v>
      </c>
      <c r="I83" t="s">
        <v>34</v>
      </c>
      <c r="J83" t="s">
        <v>31</v>
      </c>
    </row>
    <row r="84" spans="1:10" x14ac:dyDescent="0.35">
      <c r="A84">
        <v>183</v>
      </c>
      <c r="B84" t="s">
        <v>55</v>
      </c>
      <c r="C84" s="1">
        <v>46088</v>
      </c>
      <c r="D84">
        <v>9096913093</v>
      </c>
      <c r="E84" t="s">
        <v>23</v>
      </c>
      <c r="F84">
        <v>3216</v>
      </c>
      <c r="G84" t="s">
        <v>59</v>
      </c>
      <c r="H84" t="s">
        <v>14</v>
      </c>
      <c r="I84" t="s">
        <v>30</v>
      </c>
      <c r="J84" t="s">
        <v>39</v>
      </c>
    </row>
    <row r="85" spans="1:10" x14ac:dyDescent="0.35">
      <c r="A85">
        <v>184</v>
      </c>
      <c r="B85" t="s">
        <v>55</v>
      </c>
      <c r="C85" s="1">
        <v>46097</v>
      </c>
      <c r="D85">
        <v>9373790314</v>
      </c>
      <c r="E85" t="s">
        <v>23</v>
      </c>
      <c r="F85">
        <v>3960</v>
      </c>
      <c r="G85" t="s">
        <v>53</v>
      </c>
      <c r="H85" t="s">
        <v>14</v>
      </c>
      <c r="I85" t="s">
        <v>34</v>
      </c>
      <c r="J85" t="s">
        <v>39</v>
      </c>
    </row>
    <row r="86" spans="1:10" x14ac:dyDescent="0.35">
      <c r="A86">
        <v>185</v>
      </c>
      <c r="B86" t="s">
        <v>35</v>
      </c>
      <c r="C86" s="1">
        <v>46095</v>
      </c>
      <c r="D86">
        <v>918824249</v>
      </c>
      <c r="E86" t="s">
        <v>37</v>
      </c>
      <c r="F86">
        <v>1939</v>
      </c>
      <c r="G86" t="s">
        <v>63</v>
      </c>
      <c r="H86" t="s">
        <v>14</v>
      </c>
      <c r="I86" t="s">
        <v>34</v>
      </c>
      <c r="J86" t="s">
        <v>31</v>
      </c>
    </row>
    <row r="87" spans="1:10" x14ac:dyDescent="0.35">
      <c r="A87">
        <v>186</v>
      </c>
      <c r="B87" t="s">
        <v>10</v>
      </c>
      <c r="C87" s="1">
        <v>46088</v>
      </c>
      <c r="D87">
        <v>9561515</v>
      </c>
      <c r="E87" t="s">
        <v>46</v>
      </c>
      <c r="F87">
        <v>3370</v>
      </c>
      <c r="G87" t="s">
        <v>38</v>
      </c>
      <c r="H87" t="s">
        <v>15</v>
      </c>
      <c r="I87" t="s">
        <v>34</v>
      </c>
      <c r="J87" t="s">
        <v>31</v>
      </c>
    </row>
    <row r="88" spans="1:10" x14ac:dyDescent="0.35">
      <c r="A88">
        <v>187</v>
      </c>
      <c r="B88" t="s">
        <v>40</v>
      </c>
      <c r="C88" s="1">
        <v>46095</v>
      </c>
      <c r="D88">
        <v>9801579006</v>
      </c>
      <c r="E88" t="s">
        <v>25</v>
      </c>
      <c r="F88">
        <v>4399</v>
      </c>
      <c r="G88" t="s">
        <v>47</v>
      </c>
      <c r="H88" t="s">
        <v>14</v>
      </c>
      <c r="I88" t="s">
        <v>34</v>
      </c>
      <c r="J88" t="s">
        <v>31</v>
      </c>
    </row>
    <row r="89" spans="1:10" x14ac:dyDescent="0.35">
      <c r="A89">
        <v>188</v>
      </c>
      <c r="B89" t="s">
        <v>27</v>
      </c>
      <c r="C89" s="1">
        <v>46090</v>
      </c>
      <c r="D89">
        <v>9453963843</v>
      </c>
      <c r="E89" t="s">
        <v>24</v>
      </c>
      <c r="F89">
        <v>4600</v>
      </c>
      <c r="G89" t="s">
        <v>33</v>
      </c>
      <c r="H89" t="s">
        <v>15</v>
      </c>
      <c r="I89" t="s">
        <v>34</v>
      </c>
      <c r="J89" t="s">
        <v>39</v>
      </c>
    </row>
    <row r="90" spans="1:10" x14ac:dyDescent="0.35">
      <c r="A90">
        <v>189</v>
      </c>
      <c r="B90" t="s">
        <v>17</v>
      </c>
      <c r="C90" s="1">
        <v>46096</v>
      </c>
      <c r="D90">
        <v>929086689</v>
      </c>
      <c r="E90" t="s">
        <v>26</v>
      </c>
      <c r="F90">
        <v>3724</v>
      </c>
      <c r="G90" t="s">
        <v>18</v>
      </c>
      <c r="H90" t="s">
        <v>14</v>
      </c>
      <c r="I90" t="s">
        <v>30</v>
      </c>
      <c r="J90" t="s">
        <v>31</v>
      </c>
    </row>
    <row r="91" spans="1:10" x14ac:dyDescent="0.35">
      <c r="A91">
        <v>190</v>
      </c>
      <c r="B91" t="s">
        <v>40</v>
      </c>
      <c r="C91" s="1">
        <v>46097</v>
      </c>
      <c r="D91">
        <v>9494960671</v>
      </c>
      <c r="E91" t="s">
        <v>25</v>
      </c>
      <c r="F91">
        <v>4964</v>
      </c>
      <c r="G91" t="s">
        <v>18</v>
      </c>
      <c r="H91" t="s">
        <v>15</v>
      </c>
      <c r="I91" t="s">
        <v>34</v>
      </c>
      <c r="J91" t="s">
        <v>39</v>
      </c>
    </row>
    <row r="92" spans="1:10" x14ac:dyDescent="0.35">
      <c r="A92">
        <v>191</v>
      </c>
      <c r="B92" t="s">
        <v>35</v>
      </c>
      <c r="C92" s="1">
        <v>46092</v>
      </c>
      <c r="D92">
        <v>9194067</v>
      </c>
      <c r="E92" t="s">
        <v>50</v>
      </c>
      <c r="F92">
        <v>1860</v>
      </c>
      <c r="G92" t="s">
        <v>18</v>
      </c>
      <c r="H92" t="s">
        <v>15</v>
      </c>
      <c r="I92" t="s">
        <v>42</v>
      </c>
      <c r="J92" t="s">
        <v>31</v>
      </c>
    </row>
    <row r="93" spans="1:10" x14ac:dyDescent="0.35">
      <c r="A93">
        <v>192</v>
      </c>
      <c r="B93" t="s">
        <v>27</v>
      </c>
      <c r="C93" s="1">
        <v>46096</v>
      </c>
      <c r="D93">
        <v>9168078316</v>
      </c>
      <c r="E93" t="s">
        <v>24</v>
      </c>
      <c r="F93">
        <v>4297</v>
      </c>
      <c r="G93" t="s">
        <v>45</v>
      </c>
      <c r="H93" t="s">
        <v>14</v>
      </c>
      <c r="I93" t="s">
        <v>42</v>
      </c>
      <c r="J93" t="s">
        <v>31</v>
      </c>
    </row>
    <row r="94" spans="1:10" x14ac:dyDescent="0.35">
      <c r="A94">
        <v>193</v>
      </c>
      <c r="B94" t="s">
        <v>17</v>
      </c>
      <c r="C94" s="1">
        <v>46090</v>
      </c>
      <c r="D94">
        <v>9941979625</v>
      </c>
      <c r="E94" t="s">
        <v>26</v>
      </c>
      <c r="F94">
        <v>3333</v>
      </c>
      <c r="G94" t="s">
        <v>33</v>
      </c>
      <c r="H94" t="s">
        <v>15</v>
      </c>
      <c r="I94" t="s">
        <v>42</v>
      </c>
      <c r="J94" t="s">
        <v>31</v>
      </c>
    </row>
    <row r="95" spans="1:10" x14ac:dyDescent="0.35">
      <c r="A95">
        <v>194</v>
      </c>
      <c r="B95" t="s">
        <v>10</v>
      </c>
      <c r="C95" s="1">
        <v>46090</v>
      </c>
      <c r="D95">
        <v>9210958992</v>
      </c>
      <c r="E95" t="s">
        <v>46</v>
      </c>
      <c r="F95">
        <v>2933</v>
      </c>
      <c r="G95" t="s">
        <v>63</v>
      </c>
      <c r="H95" t="s">
        <v>15</v>
      </c>
      <c r="I95" t="s">
        <v>30</v>
      </c>
      <c r="J95" t="s">
        <v>31</v>
      </c>
    </row>
    <row r="96" spans="1:10" x14ac:dyDescent="0.35">
      <c r="A96">
        <v>195</v>
      </c>
      <c r="B96" t="s">
        <v>61</v>
      </c>
      <c r="C96" s="1">
        <v>46096</v>
      </c>
      <c r="D96">
        <v>9066163301</v>
      </c>
      <c r="E96" t="s">
        <v>62</v>
      </c>
      <c r="F96">
        <v>4870</v>
      </c>
      <c r="G96" t="s">
        <v>45</v>
      </c>
      <c r="H96" t="s">
        <v>14</v>
      </c>
      <c r="I96" t="s">
        <v>34</v>
      </c>
      <c r="J96" t="s">
        <v>31</v>
      </c>
    </row>
    <row r="97" spans="1:10" x14ac:dyDescent="0.35">
      <c r="A97">
        <v>196</v>
      </c>
      <c r="B97" t="s">
        <v>20</v>
      </c>
      <c r="C97" s="1">
        <v>46094</v>
      </c>
      <c r="D97">
        <v>982522784</v>
      </c>
      <c r="E97" t="s">
        <v>21</v>
      </c>
      <c r="F97">
        <v>3051</v>
      </c>
      <c r="G97" t="s">
        <v>49</v>
      </c>
      <c r="H97" t="s">
        <v>14</v>
      </c>
      <c r="I97" t="s">
        <v>34</v>
      </c>
      <c r="J97" t="s">
        <v>31</v>
      </c>
    </row>
    <row r="98" spans="1:10" x14ac:dyDescent="0.35">
      <c r="A98">
        <v>197</v>
      </c>
      <c r="B98" t="s">
        <v>58</v>
      </c>
      <c r="C98" s="1">
        <v>46095</v>
      </c>
      <c r="D98">
        <v>998012810</v>
      </c>
      <c r="E98" t="s">
        <v>66</v>
      </c>
      <c r="F98">
        <v>1018</v>
      </c>
      <c r="G98" t="s">
        <v>47</v>
      </c>
      <c r="H98" t="s">
        <v>14</v>
      </c>
      <c r="I98" t="s">
        <v>30</v>
      </c>
      <c r="J98" t="s">
        <v>39</v>
      </c>
    </row>
    <row r="99" spans="1:10" x14ac:dyDescent="0.35">
      <c r="A99">
        <v>198</v>
      </c>
      <c r="B99" t="s">
        <v>61</v>
      </c>
      <c r="C99" s="1">
        <v>46097</v>
      </c>
      <c r="D99">
        <v>9491692372</v>
      </c>
      <c r="E99" t="s">
        <v>22</v>
      </c>
      <c r="F99">
        <v>4753</v>
      </c>
      <c r="G99" t="s">
        <v>53</v>
      </c>
      <c r="H99" t="s">
        <v>15</v>
      </c>
      <c r="I99" t="s">
        <v>34</v>
      </c>
      <c r="J99" t="s">
        <v>31</v>
      </c>
    </row>
    <row r="100" spans="1:10" x14ac:dyDescent="0.35">
      <c r="A100">
        <v>199</v>
      </c>
      <c r="B100" t="s">
        <v>17</v>
      </c>
      <c r="C100" s="1">
        <v>46091</v>
      </c>
      <c r="D100">
        <v>9796360</v>
      </c>
      <c r="E100" t="s">
        <v>52</v>
      </c>
      <c r="F100">
        <v>5339</v>
      </c>
      <c r="G100" t="s">
        <v>59</v>
      </c>
      <c r="H100" t="s">
        <v>14</v>
      </c>
      <c r="I100" t="s">
        <v>34</v>
      </c>
      <c r="J100" t="s">
        <v>31</v>
      </c>
    </row>
    <row r="101" spans="1:10" x14ac:dyDescent="0.35">
      <c r="A101">
        <v>200</v>
      </c>
      <c r="B101" t="s">
        <v>20</v>
      </c>
      <c r="C101" s="1">
        <v>46093</v>
      </c>
      <c r="D101">
        <v>9547591253</v>
      </c>
      <c r="E101" t="s">
        <v>65</v>
      </c>
      <c r="F101">
        <v>1252</v>
      </c>
      <c r="G101" t="s">
        <v>53</v>
      </c>
      <c r="H101" t="s">
        <v>14</v>
      </c>
      <c r="I101" t="s">
        <v>42</v>
      </c>
      <c r="J101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6C29-62F7-4C42-9A51-4D1504858999}">
  <dimension ref="A1:Y101"/>
  <sheetViews>
    <sheetView tabSelected="1" topLeftCell="T2" zoomScale="95" zoomScaleNormal="95" workbookViewId="0">
      <selection activeCell="AA6" sqref="AA6"/>
    </sheetView>
  </sheetViews>
  <sheetFormatPr defaultRowHeight="14.5" x14ac:dyDescent="0.35"/>
  <cols>
    <col min="1" max="1" width="7.6328125" customWidth="1"/>
    <col min="2" max="2" width="12.90625" customWidth="1"/>
    <col min="3" max="3" width="12.1796875" customWidth="1"/>
    <col min="4" max="4" width="9.6328125" customWidth="1"/>
    <col min="5" max="5" width="16.1796875" customWidth="1"/>
    <col min="6" max="6" width="13.08984375" customWidth="1"/>
    <col min="7" max="7" width="12" bestFit="1" customWidth="1"/>
    <col min="8" max="8" width="10.7265625" customWidth="1"/>
    <col min="9" max="9" width="13.36328125" customWidth="1"/>
    <col min="10" max="10" width="14.54296875" customWidth="1"/>
    <col min="11" max="11" width="19" customWidth="1"/>
    <col min="12" max="12" width="10.08984375" customWidth="1"/>
    <col min="13" max="13" width="14.7265625" customWidth="1"/>
    <col min="14" max="14" width="13.7265625" customWidth="1"/>
    <col min="15" max="15" width="17.36328125" customWidth="1"/>
    <col min="18" max="18" width="17.26953125" customWidth="1"/>
    <col min="20" max="20" width="19" customWidth="1"/>
    <col min="21" max="21" width="17.54296875" customWidth="1"/>
    <col min="22" max="22" width="22.08984375" customWidth="1"/>
    <col min="23" max="23" width="13.1796875" customWidth="1"/>
    <col min="24" max="24" width="10.26953125" customWidth="1"/>
    <col min="25" max="25" width="18.7265625" customWidth="1"/>
  </cols>
  <sheetData>
    <row r="1" spans="1:25" x14ac:dyDescent="0.35">
      <c r="A1" t="s">
        <v>0</v>
      </c>
      <c r="B1" t="s">
        <v>1</v>
      </c>
      <c r="C1" t="s">
        <v>80</v>
      </c>
      <c r="D1" t="s">
        <v>82</v>
      </c>
      <c r="E1" t="s">
        <v>84</v>
      </c>
      <c r="F1" t="s">
        <v>83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85</v>
      </c>
      <c r="O1" t="s">
        <v>9</v>
      </c>
    </row>
    <row r="2" spans="1:25" x14ac:dyDescent="0.35">
      <c r="A2">
        <v>101</v>
      </c>
      <c r="B2" t="s">
        <v>27</v>
      </c>
      <c r="C2" t="str">
        <f>IF(WEEKDAY(Table3_1[[#This Row],[Date]])&gt;5,"weekend","weekday")</f>
        <v>weekday</v>
      </c>
      <c r="D2">
        <f>MONTH(Table3_1[[#This Row],[Date]])</f>
        <v>3</v>
      </c>
      <c r="E2" s="1">
        <v>46101</v>
      </c>
      <c r="F2" s="1" t="str">
        <f>IF(Table3_1[[#This Row],[todays date-9]]-Table3_1[[#This Row],[Date]]&gt;7,"old order","recent order")</f>
        <v>old order</v>
      </c>
      <c r="G2" t="s">
        <v>28</v>
      </c>
      <c r="H2">
        <v>9897989899</v>
      </c>
      <c r="I2" t="s">
        <v>24</v>
      </c>
      <c r="J2">
        <v>3232</v>
      </c>
      <c r="K2" t="s">
        <v>29</v>
      </c>
      <c r="L2" t="s">
        <v>15</v>
      </c>
      <c r="M2" t="s">
        <v>30</v>
      </c>
      <c r="N2" t="str">
        <f>IF(Table3_1[[#This Row],[Amount]]&gt;=4000,"large order","small order")</f>
        <v>small order</v>
      </c>
      <c r="O2" t="s">
        <v>31</v>
      </c>
      <c r="S2" t="s">
        <v>77</v>
      </c>
      <c r="T2" t="s">
        <v>78</v>
      </c>
      <c r="U2" t="s">
        <v>79</v>
      </c>
      <c r="W2" t="s">
        <v>79</v>
      </c>
      <c r="X2" t="s">
        <v>86</v>
      </c>
      <c r="Y2" t="s">
        <v>87</v>
      </c>
    </row>
    <row r="3" spans="1:25" x14ac:dyDescent="0.35">
      <c r="A3">
        <v>102</v>
      </c>
      <c r="B3" t="s">
        <v>10</v>
      </c>
      <c r="C3" t="str">
        <f>IF(WEEKDAY(Table3_1[[#This Row],[Date]])&gt;5,"weekend","weekday")</f>
        <v>weekend</v>
      </c>
      <c r="D3">
        <f>MONTH(Table3_1[[#This Row],[Date]])</f>
        <v>3</v>
      </c>
      <c r="E3" s="1">
        <v>46101</v>
      </c>
      <c r="F3" s="1" t="str">
        <f>IF(Table3_1[[#This Row],[todays date-9]]-Table3_1[[#This Row],[Date]]&gt;7,"old order","recent order")</f>
        <v>old order</v>
      </c>
      <c r="G3" t="s">
        <v>32</v>
      </c>
      <c r="H3">
        <v>9558386023</v>
      </c>
      <c r="I3" t="s">
        <v>16</v>
      </c>
      <c r="J3">
        <v>1241</v>
      </c>
      <c r="K3" t="s">
        <v>33</v>
      </c>
      <c r="L3" t="s">
        <v>15</v>
      </c>
      <c r="M3" t="s">
        <v>34</v>
      </c>
      <c r="N3" t="str">
        <f>IF(Table3_1[[#This Row],[Amount]]&gt;=4000,"large order","small order")</f>
        <v>small order</v>
      </c>
      <c r="O3" t="s">
        <v>31</v>
      </c>
      <c r="S3">
        <v>1</v>
      </c>
      <c r="T3">
        <f>SUM(Table3_1[Amount])</f>
        <v>346622</v>
      </c>
      <c r="U3" s="2"/>
      <c r="W3" t="s">
        <v>33</v>
      </c>
      <c r="X3">
        <f>SUMIF(Table3_1[City],Table3_1[[#This Row],[City]],Table3_1[Amount])</f>
        <v>28757</v>
      </c>
      <c r="Y3" t="str">
        <f>IF(Table2[[#This Row],[Column2]]&gt;20000,"EXCEED","NOT EXCEED")</f>
        <v>EXCEED</v>
      </c>
    </row>
    <row r="4" spans="1:25" x14ac:dyDescent="0.35">
      <c r="A4">
        <v>103</v>
      </c>
      <c r="B4" t="s">
        <v>35</v>
      </c>
      <c r="C4" t="str">
        <f>IF(WEEKDAY(Table3_1[[#This Row],[Date]])&gt;5,"weekend","weekday")</f>
        <v>weekday</v>
      </c>
      <c r="D4">
        <f>MONTH(Table3_1[[#This Row],[Date]])</f>
        <v>3</v>
      </c>
      <c r="E4" s="1">
        <v>46101</v>
      </c>
      <c r="F4" s="1" t="str">
        <f>IF(Table3_1[[#This Row],[todays date-9]]-Table3_1[[#This Row],[Date]]&gt;7,"old order","recent order")</f>
        <v>old order</v>
      </c>
      <c r="G4" t="s">
        <v>36</v>
      </c>
      <c r="H4">
        <v>9327819786</v>
      </c>
      <c r="I4" t="s">
        <v>37</v>
      </c>
      <c r="J4">
        <v>2877</v>
      </c>
      <c r="K4" t="s">
        <v>38</v>
      </c>
      <c r="L4" t="s">
        <v>15</v>
      </c>
      <c r="M4" t="s">
        <v>34</v>
      </c>
      <c r="N4" t="str">
        <f>IF(Table3_1[[#This Row],[Amount]]&gt;=4000,"large order","small order")</f>
        <v>small order</v>
      </c>
      <c r="O4" t="s">
        <v>39</v>
      </c>
      <c r="S4">
        <v>2</v>
      </c>
      <c r="T4">
        <f>SUMIF(Table3_1[City],Table3_1[[#This Row],[City]],Table3_1[Amount])</f>
        <v>51059</v>
      </c>
      <c r="U4" s="2"/>
      <c r="W4" t="s">
        <v>45</v>
      </c>
      <c r="X4">
        <f>SUMIF(Table3_1[City],K6,Table3_1[Amount])</f>
        <v>30716</v>
      </c>
      <c r="Y4" t="str">
        <f>IF(Table2[[#This Row],[Column2]]&gt;20000,"EXCEED","NOT EXCEED")</f>
        <v>EXCEED</v>
      </c>
    </row>
    <row r="5" spans="1:25" x14ac:dyDescent="0.35">
      <c r="A5">
        <v>104</v>
      </c>
      <c r="B5" t="s">
        <v>40</v>
      </c>
      <c r="C5" t="str">
        <f>IF(WEEKDAY(Table3_1[[#This Row],[Date]])&gt;5,"weekend","weekday")</f>
        <v>weekday</v>
      </c>
      <c r="D5">
        <f>MONTH(Table3_1[[#This Row],[Date]])</f>
        <v>3</v>
      </c>
      <c r="E5" s="1">
        <v>46101</v>
      </c>
      <c r="F5" s="1" t="str">
        <f>IF(Table3_1[[#This Row],[todays date-9]]-Table3_1[[#This Row],[Date]]&gt;7,"old order","recent order")</f>
        <v>old order</v>
      </c>
      <c r="G5" t="s">
        <v>11</v>
      </c>
      <c r="H5">
        <v>982899679</v>
      </c>
      <c r="I5" t="s">
        <v>41</v>
      </c>
      <c r="J5">
        <v>4578</v>
      </c>
      <c r="K5" t="s">
        <v>38</v>
      </c>
      <c r="L5" t="s">
        <v>15</v>
      </c>
      <c r="M5" t="s">
        <v>42</v>
      </c>
      <c r="N5" t="str">
        <f>IF(Table3_1[[#This Row],[Amount]]&gt;=4000,"large order","small order")</f>
        <v>large order</v>
      </c>
      <c r="O5" t="s">
        <v>39</v>
      </c>
      <c r="S5">
        <v>3</v>
      </c>
      <c r="T5">
        <f>SUMIF(Table3_1[Product],Table3_1[[#This Row],[Product]],Table3_1[Amount])</f>
        <v>84056</v>
      </c>
      <c r="U5" s="2"/>
      <c r="W5" t="s">
        <v>63</v>
      </c>
      <c r="X5">
        <f>SUMIF(Table3_1[City],K28,Table3_1[Amount])</f>
        <v>31309</v>
      </c>
      <c r="Y5" t="str">
        <f>IF(Table2[[#This Row],[Column2]]&gt;20000,"EXCEED","NOT EXCEED")</f>
        <v>EXCEED</v>
      </c>
    </row>
    <row r="6" spans="1:25" x14ac:dyDescent="0.35">
      <c r="A6">
        <v>105</v>
      </c>
      <c r="B6" t="s">
        <v>43</v>
      </c>
      <c r="C6" t="str">
        <f>IF(WEEKDAY(Table3_1[[#This Row],[Date]])&gt;5,"weekend","weekday")</f>
        <v>weekend</v>
      </c>
      <c r="D6">
        <f>MONTH(Table3_1[[#This Row],[Date]])</f>
        <v>3</v>
      </c>
      <c r="E6" s="1">
        <v>46101</v>
      </c>
      <c r="F6" s="1" t="str">
        <f>IF(Table3_1[[#This Row],[todays date-9]]-Table3_1[[#This Row],[Date]]&gt;7,"old order","recent order")</f>
        <v>recent order</v>
      </c>
      <c r="G6" t="s">
        <v>44</v>
      </c>
      <c r="H6">
        <v>9860772485</v>
      </c>
      <c r="I6" t="s">
        <v>12</v>
      </c>
      <c r="J6">
        <v>3755</v>
      </c>
      <c r="K6" t="s">
        <v>45</v>
      </c>
      <c r="L6" t="s">
        <v>14</v>
      </c>
      <c r="M6" t="s">
        <v>30</v>
      </c>
      <c r="N6" t="str">
        <f>IF(Table3_1[[#This Row],[Amount]]&gt;=4000,"large order","small order")</f>
        <v>small order</v>
      </c>
      <c r="O6" t="s">
        <v>39</v>
      </c>
      <c r="S6">
        <v>4</v>
      </c>
      <c r="U6" s="2"/>
    </row>
    <row r="7" spans="1:25" x14ac:dyDescent="0.35">
      <c r="A7">
        <v>106</v>
      </c>
      <c r="B7" t="s">
        <v>10</v>
      </c>
      <c r="C7" t="str">
        <f>IF(WEEKDAY(Table3_1[[#This Row],[Date]])&gt;5,"weekend","weekday")</f>
        <v>weekday</v>
      </c>
      <c r="D7">
        <f>MONTH(Table3_1[[#This Row],[Date]])</f>
        <v>3</v>
      </c>
      <c r="E7" s="1">
        <v>46101</v>
      </c>
      <c r="F7" s="1" t="str">
        <f>IF(Table3_1[[#This Row],[todays date-9]]-Table3_1[[#This Row],[Date]]&gt;7,"old order","recent order")</f>
        <v>old order</v>
      </c>
      <c r="G7" t="s">
        <v>13</v>
      </c>
      <c r="H7">
        <v>9712224478</v>
      </c>
      <c r="I7" t="s">
        <v>46</v>
      </c>
      <c r="J7">
        <v>4190</v>
      </c>
      <c r="K7" t="s">
        <v>47</v>
      </c>
      <c r="L7" t="s">
        <v>14</v>
      </c>
      <c r="M7" t="s">
        <v>34</v>
      </c>
      <c r="N7" t="str">
        <f>IF(Table3_1[[#This Row],[Amount]]&gt;=4000,"large order","small order")</f>
        <v>large order</v>
      </c>
      <c r="O7" t="s">
        <v>31</v>
      </c>
      <c r="S7">
        <v>5</v>
      </c>
      <c r="T7" t="s">
        <v>81</v>
      </c>
      <c r="U7" s="2"/>
    </row>
    <row r="8" spans="1:25" x14ac:dyDescent="0.35">
      <c r="A8">
        <v>107</v>
      </c>
      <c r="B8" t="s">
        <v>27</v>
      </c>
      <c r="C8" t="str">
        <f>IF(WEEKDAY(Table3_1[[#This Row],[Date]])&gt;5,"weekend","weekday")</f>
        <v>weekend</v>
      </c>
      <c r="D8">
        <f>MONTH(Table3_1[[#This Row],[Date]])</f>
        <v>3</v>
      </c>
      <c r="E8" s="1">
        <v>46101</v>
      </c>
      <c r="F8" s="1" t="str">
        <f>IF(Table3_1[[#This Row],[todays date-9]]-Table3_1[[#This Row],[Date]]&gt;7,"old order","recent order")</f>
        <v>old order</v>
      </c>
      <c r="G8" t="s">
        <v>32</v>
      </c>
      <c r="H8">
        <v>9875184380</v>
      </c>
      <c r="I8" t="s">
        <v>48</v>
      </c>
      <c r="J8">
        <v>2058</v>
      </c>
      <c r="K8" t="s">
        <v>49</v>
      </c>
      <c r="L8" t="s">
        <v>15</v>
      </c>
      <c r="M8" t="s">
        <v>34</v>
      </c>
      <c r="N8" t="str">
        <f>IF(Table3_1[[#This Row],[Amount]]&gt;=4000,"large order","small order")</f>
        <v>small order</v>
      </c>
      <c r="O8" t="s">
        <v>31</v>
      </c>
      <c r="S8">
        <v>6</v>
      </c>
      <c r="T8" t="s">
        <v>81</v>
      </c>
      <c r="U8" s="2"/>
    </row>
    <row r="9" spans="1:25" x14ac:dyDescent="0.35">
      <c r="A9">
        <v>108</v>
      </c>
      <c r="B9" t="s">
        <v>35</v>
      </c>
      <c r="C9" t="str">
        <f>IF(WEEKDAY(Table3_1[[#This Row],[Date]])&gt;5,"weekend","weekday")</f>
        <v>weekday</v>
      </c>
      <c r="D9">
        <f>MONTH(Table3_1[[#This Row],[Date]])</f>
        <v>3</v>
      </c>
      <c r="E9" s="1">
        <v>46101</v>
      </c>
      <c r="F9" s="1" t="str">
        <f>IF(Table3_1[[#This Row],[todays date-9]]-Table3_1[[#This Row],[Date]]&gt;7,"old order","recent order")</f>
        <v>old order</v>
      </c>
      <c r="G9" t="s">
        <v>36</v>
      </c>
      <c r="H9">
        <v>9428520226</v>
      </c>
      <c r="I9" t="s">
        <v>50</v>
      </c>
      <c r="J9">
        <v>4970</v>
      </c>
      <c r="K9" t="s">
        <v>38</v>
      </c>
      <c r="L9" t="s">
        <v>15</v>
      </c>
      <c r="M9" t="s">
        <v>42</v>
      </c>
      <c r="N9" t="str">
        <f>IF(Table3_1[[#This Row],[Amount]]&gt;=4000,"large order","small order")</f>
        <v>large order</v>
      </c>
      <c r="O9" t="s">
        <v>39</v>
      </c>
      <c r="S9">
        <v>7</v>
      </c>
      <c r="T9">
        <f>SUMIF(Table3_1[Date],G4,Table3_1[[Amount]:[City]])</f>
        <v>49303</v>
      </c>
      <c r="U9" s="2"/>
    </row>
    <row r="10" spans="1:25" x14ac:dyDescent="0.35">
      <c r="A10">
        <v>109</v>
      </c>
      <c r="B10" t="s">
        <v>10</v>
      </c>
      <c r="C10" t="str">
        <f>IF(WEEKDAY(Table3_1[[#This Row],[Date]])&gt;5,"weekend","weekday")</f>
        <v>weekday</v>
      </c>
      <c r="D10">
        <f>MONTH(Table3_1[[#This Row],[Date]])</f>
        <v>3</v>
      </c>
      <c r="E10" s="1">
        <v>46101</v>
      </c>
      <c r="F10" s="1" t="str">
        <f>IF(Table3_1[[#This Row],[todays date-9]]-Table3_1[[#This Row],[Date]]&gt;7,"old order","recent order")</f>
        <v>old order</v>
      </c>
      <c r="G10" t="s">
        <v>51</v>
      </c>
      <c r="H10">
        <v>9321418377</v>
      </c>
      <c r="I10" t="s">
        <v>16</v>
      </c>
      <c r="J10">
        <v>4108</v>
      </c>
      <c r="K10" t="s">
        <v>49</v>
      </c>
      <c r="L10" t="s">
        <v>14</v>
      </c>
      <c r="M10" t="s">
        <v>42</v>
      </c>
      <c r="N10" t="str">
        <f>IF(Table3_1[[#This Row],[Amount]]&gt;=4000,"large order","small order")</f>
        <v>large order</v>
      </c>
      <c r="O10" t="s">
        <v>31</v>
      </c>
      <c r="S10">
        <v>8</v>
      </c>
      <c r="T10" t="s">
        <v>81</v>
      </c>
      <c r="U10" s="2"/>
    </row>
    <row r="11" spans="1:25" x14ac:dyDescent="0.35">
      <c r="A11">
        <v>110</v>
      </c>
      <c r="B11" t="s">
        <v>17</v>
      </c>
      <c r="C11" t="str">
        <f>IF(WEEKDAY(Table3_1[[#This Row],[Date]])&gt;5,"weekend","weekday")</f>
        <v>weekday</v>
      </c>
      <c r="D11">
        <f>MONTH(Table3_1[[#This Row],[Date]])</f>
        <v>3</v>
      </c>
      <c r="E11" s="1">
        <v>46101</v>
      </c>
      <c r="F11" s="1" t="str">
        <f>IF(Table3_1[[#This Row],[todays date-9]]-Table3_1[[#This Row],[Date]]&gt;7,"old order","recent order")</f>
        <v>old order</v>
      </c>
      <c r="G11" t="s">
        <v>36</v>
      </c>
      <c r="H11">
        <v>952573594</v>
      </c>
      <c r="I11" t="s">
        <v>52</v>
      </c>
      <c r="J11">
        <v>2697</v>
      </c>
      <c r="K11" t="s">
        <v>53</v>
      </c>
      <c r="L11" t="s">
        <v>15</v>
      </c>
      <c r="M11" t="s">
        <v>34</v>
      </c>
      <c r="N11" t="str">
        <f>IF(Table3_1[[#This Row],[Amount]]&gt;=4000,"large order","small order")</f>
        <v>small order</v>
      </c>
      <c r="O11" t="s">
        <v>31</v>
      </c>
      <c r="S11">
        <v>9</v>
      </c>
      <c r="T11" t="s">
        <v>81</v>
      </c>
      <c r="U11" s="2"/>
    </row>
    <row r="12" spans="1:25" x14ac:dyDescent="0.35">
      <c r="A12">
        <v>111</v>
      </c>
      <c r="B12" t="s">
        <v>43</v>
      </c>
      <c r="C12" t="str">
        <f>IF(WEEKDAY(Table3_1[[#This Row],[Date]])&gt;5,"weekend","weekday")</f>
        <v>weekday</v>
      </c>
      <c r="D12">
        <f>MONTH(Table3_1[[#This Row],[Date]])</f>
        <v>3</v>
      </c>
      <c r="E12" s="1">
        <v>46101</v>
      </c>
      <c r="F12" s="1" t="str">
        <f>IF(Table3_1[[#This Row],[todays date-9]]-Table3_1[[#This Row],[Date]]&gt;7,"old order","recent order")</f>
        <v>old order</v>
      </c>
      <c r="G12" t="s">
        <v>13</v>
      </c>
      <c r="H12">
        <v>9088634</v>
      </c>
      <c r="I12" t="s">
        <v>54</v>
      </c>
      <c r="J12">
        <v>2226</v>
      </c>
      <c r="K12" t="s">
        <v>38</v>
      </c>
      <c r="L12" t="s">
        <v>15</v>
      </c>
      <c r="M12" t="s">
        <v>30</v>
      </c>
      <c r="N12" t="str">
        <f>IF(Table3_1[[#This Row],[Amount]]&gt;=4000,"large order","small order")</f>
        <v>small order</v>
      </c>
      <c r="O12" t="s">
        <v>31</v>
      </c>
      <c r="U12" s="2"/>
    </row>
    <row r="13" spans="1:25" x14ac:dyDescent="0.35">
      <c r="A13">
        <v>112</v>
      </c>
      <c r="B13" t="s">
        <v>55</v>
      </c>
      <c r="C13" t="str">
        <f>IF(WEEKDAY(Table3_1[[#This Row],[Date]])&gt;5,"weekend","weekday")</f>
        <v>weekday</v>
      </c>
      <c r="D13">
        <f>MONTH(Table3_1[[#This Row],[Date]])</f>
        <v>3</v>
      </c>
      <c r="E13" s="1">
        <v>46101</v>
      </c>
      <c r="F13" s="1" t="str">
        <f>IF(Table3_1[[#This Row],[todays date-9]]-Table3_1[[#This Row],[Date]]&gt;7,"old order","recent order")</f>
        <v>recent order</v>
      </c>
      <c r="G13" t="s">
        <v>56</v>
      </c>
      <c r="H13">
        <v>9327374620</v>
      </c>
      <c r="I13" t="s">
        <v>57</v>
      </c>
      <c r="J13">
        <v>2141</v>
      </c>
      <c r="K13" t="s">
        <v>18</v>
      </c>
      <c r="L13" t="s">
        <v>15</v>
      </c>
      <c r="M13" t="s">
        <v>34</v>
      </c>
      <c r="N13" t="str">
        <f>IF(Table3_1[[#This Row],[Amount]]&gt;=4000,"large order","small order")</f>
        <v>small order</v>
      </c>
      <c r="O13" t="s">
        <v>31</v>
      </c>
      <c r="U13" s="2"/>
    </row>
    <row r="14" spans="1:25" x14ac:dyDescent="0.35">
      <c r="A14">
        <v>113</v>
      </c>
      <c r="B14" t="s">
        <v>10</v>
      </c>
      <c r="C14" t="str">
        <f>IF(WEEKDAY(Table3_1[[#This Row],[Date]])&gt;5,"weekend","weekday")</f>
        <v>weekday</v>
      </c>
      <c r="D14">
        <f>MONTH(Table3_1[[#This Row],[Date]])</f>
        <v>3</v>
      </c>
      <c r="E14" s="1">
        <v>46101</v>
      </c>
      <c r="F14" s="1" t="str">
        <f>IF(Table3_1[[#This Row],[todays date-9]]-Table3_1[[#This Row],[Date]]&gt;7,"old order","recent order")</f>
        <v>recent order</v>
      </c>
      <c r="G14" t="s">
        <v>56</v>
      </c>
      <c r="H14">
        <v>909030091</v>
      </c>
      <c r="I14" t="s">
        <v>46</v>
      </c>
      <c r="J14">
        <v>4944</v>
      </c>
      <c r="K14" t="s">
        <v>49</v>
      </c>
      <c r="L14" t="s">
        <v>15</v>
      </c>
      <c r="M14" t="s">
        <v>34</v>
      </c>
      <c r="N14" t="str">
        <f>IF(Table3_1[[#This Row],[Amount]]&gt;=4000,"large order","small order")</f>
        <v>large order</v>
      </c>
      <c r="O14" t="s">
        <v>39</v>
      </c>
      <c r="T14" s="2"/>
    </row>
    <row r="15" spans="1:25" x14ac:dyDescent="0.35">
      <c r="A15">
        <v>114</v>
      </c>
      <c r="B15" t="s">
        <v>58</v>
      </c>
      <c r="C15" t="str">
        <f>IF(WEEKDAY(Table3_1[[#This Row],[Date]])&gt;5,"weekend","weekday")</f>
        <v>weekend</v>
      </c>
      <c r="D15">
        <f>MONTH(Table3_1[[#This Row],[Date]])</f>
        <v>3</v>
      </c>
      <c r="E15" s="1">
        <v>46101</v>
      </c>
      <c r="F15" s="1" t="str">
        <f>IF(Table3_1[[#This Row],[todays date-9]]-Table3_1[[#This Row],[Date]]&gt;7,"old order","recent order")</f>
        <v>recent order</v>
      </c>
      <c r="G15" t="s">
        <v>44</v>
      </c>
      <c r="H15">
        <v>949786321</v>
      </c>
      <c r="I15" t="s">
        <v>19</v>
      </c>
      <c r="J15">
        <v>5223</v>
      </c>
      <c r="K15" t="s">
        <v>49</v>
      </c>
      <c r="L15" t="s">
        <v>15</v>
      </c>
      <c r="M15" t="s">
        <v>42</v>
      </c>
      <c r="N15" t="str">
        <f>IF(Table3_1[[#This Row],[Amount]]&gt;=4000,"large order","small order")</f>
        <v>large order</v>
      </c>
      <c r="O15" t="s">
        <v>31</v>
      </c>
    </row>
    <row r="16" spans="1:25" x14ac:dyDescent="0.35">
      <c r="A16">
        <v>115</v>
      </c>
      <c r="B16" t="s">
        <v>10</v>
      </c>
      <c r="C16" t="str">
        <f>IF(WEEKDAY(Table3_1[[#This Row],[Date]])&gt;5,"weekend","weekday")</f>
        <v>weekend</v>
      </c>
      <c r="D16">
        <f>MONTH(Table3_1[[#This Row],[Date]])</f>
        <v>3</v>
      </c>
      <c r="E16" s="1">
        <v>46101</v>
      </c>
      <c r="F16" s="1" t="str">
        <f>IF(Table3_1[[#This Row],[todays date-9]]-Table3_1[[#This Row],[Date]]&gt;7,"old order","recent order")</f>
        <v>old order</v>
      </c>
      <c r="G16" t="s">
        <v>32</v>
      </c>
      <c r="H16">
        <v>9207171738</v>
      </c>
      <c r="I16" t="s">
        <v>46</v>
      </c>
      <c r="J16">
        <v>5566</v>
      </c>
      <c r="K16" t="s">
        <v>49</v>
      </c>
      <c r="L16" t="s">
        <v>15</v>
      </c>
      <c r="M16" t="s">
        <v>34</v>
      </c>
      <c r="N16" t="str">
        <f>IF(Table3_1[[#This Row],[Amount]]&gt;=4000,"large order","small order")</f>
        <v>large order</v>
      </c>
      <c r="O16" t="s">
        <v>39</v>
      </c>
    </row>
    <row r="17" spans="1:15" x14ac:dyDescent="0.35">
      <c r="A17">
        <v>116</v>
      </c>
      <c r="B17" t="s">
        <v>27</v>
      </c>
      <c r="C17" t="str">
        <f>IF(WEEKDAY(Table3_1[[#This Row],[Date]])&gt;5,"weekend","weekday")</f>
        <v>weekday</v>
      </c>
      <c r="D17">
        <f>MONTH(Table3_1[[#This Row],[Date]])</f>
        <v>3</v>
      </c>
      <c r="E17" s="1">
        <v>46101</v>
      </c>
      <c r="F17" s="1" t="str">
        <f>IF(Table3_1[[#This Row],[todays date-9]]-Table3_1[[#This Row],[Date]]&gt;7,"old order","recent order")</f>
        <v>old order</v>
      </c>
      <c r="G17" t="s">
        <v>51</v>
      </c>
      <c r="H17">
        <v>9560797352</v>
      </c>
      <c r="I17" t="s">
        <v>48</v>
      </c>
      <c r="J17">
        <v>2080</v>
      </c>
      <c r="K17" t="s">
        <v>59</v>
      </c>
      <c r="L17" t="s">
        <v>15</v>
      </c>
      <c r="M17" t="s">
        <v>34</v>
      </c>
      <c r="N17" t="str">
        <f>IF(Table3_1[[#This Row],[Amount]]&gt;=4000,"large order","small order")</f>
        <v>small order</v>
      </c>
      <c r="O17" t="s">
        <v>31</v>
      </c>
    </row>
    <row r="18" spans="1:15" x14ac:dyDescent="0.35">
      <c r="A18">
        <v>117</v>
      </c>
      <c r="B18" t="s">
        <v>43</v>
      </c>
      <c r="C18" t="str">
        <f>IF(WEEKDAY(Table3_1[[#This Row],[Date]])&gt;5,"weekend","weekday")</f>
        <v>weekday</v>
      </c>
      <c r="D18">
        <f>MONTH(Table3_1[[#This Row],[Date]])</f>
        <v>3</v>
      </c>
      <c r="E18" s="1">
        <v>46101</v>
      </c>
      <c r="F18" s="1" t="str">
        <f>IF(Table3_1[[#This Row],[todays date-9]]-Table3_1[[#This Row],[Date]]&gt;7,"old order","recent order")</f>
        <v>old order</v>
      </c>
      <c r="G18" t="s">
        <v>28</v>
      </c>
      <c r="H18">
        <v>9986023765</v>
      </c>
      <c r="I18" t="s">
        <v>12</v>
      </c>
      <c r="J18">
        <v>3548</v>
      </c>
      <c r="K18" t="s">
        <v>45</v>
      </c>
      <c r="L18" t="s">
        <v>14</v>
      </c>
      <c r="M18" t="s">
        <v>34</v>
      </c>
      <c r="N18" t="str">
        <f>IF(Table3_1[[#This Row],[Amount]]&gt;=4000,"large order","small order")</f>
        <v>small order</v>
      </c>
      <c r="O18" t="s">
        <v>39</v>
      </c>
    </row>
    <row r="19" spans="1:15" x14ac:dyDescent="0.35">
      <c r="A19">
        <v>118</v>
      </c>
      <c r="B19" t="s">
        <v>27</v>
      </c>
      <c r="C19" t="str">
        <f>IF(WEEKDAY(Table3_1[[#This Row],[Date]])&gt;5,"weekend","weekday")</f>
        <v>weekend</v>
      </c>
      <c r="D19">
        <f>MONTH(Table3_1[[#This Row],[Date]])</f>
        <v>3</v>
      </c>
      <c r="E19" s="1">
        <v>46101</v>
      </c>
      <c r="F19" s="1" t="str">
        <f>IF(Table3_1[[#This Row],[todays date-9]]-Table3_1[[#This Row],[Date]]&gt;7,"old order","recent order")</f>
        <v>recent order</v>
      </c>
      <c r="G19" t="s">
        <v>60</v>
      </c>
      <c r="H19">
        <v>9239533</v>
      </c>
      <c r="I19" t="s">
        <v>24</v>
      </c>
      <c r="J19">
        <v>2991</v>
      </c>
      <c r="K19" t="s">
        <v>18</v>
      </c>
      <c r="L19" t="s">
        <v>15</v>
      </c>
      <c r="M19" t="s">
        <v>42</v>
      </c>
      <c r="N19" t="str">
        <f>IF(Table3_1[[#This Row],[Amount]]&gt;=4000,"large order","small order")</f>
        <v>small order</v>
      </c>
      <c r="O19" t="s">
        <v>31</v>
      </c>
    </row>
    <row r="20" spans="1:15" x14ac:dyDescent="0.35">
      <c r="A20">
        <v>119</v>
      </c>
      <c r="B20" t="s">
        <v>27</v>
      </c>
      <c r="C20" t="str">
        <f>IF(WEEKDAY(Table3_1[[#This Row],[Date]])&gt;5,"weekend","weekday")</f>
        <v>weekday</v>
      </c>
      <c r="D20">
        <f>MONTH(Table3_1[[#This Row],[Date]])</f>
        <v>3</v>
      </c>
      <c r="E20" s="1">
        <v>46101</v>
      </c>
      <c r="F20" s="1" t="str">
        <f>IF(Table3_1[[#This Row],[todays date-9]]-Table3_1[[#This Row],[Date]]&gt;7,"old order","recent order")</f>
        <v>old order</v>
      </c>
      <c r="G20" t="s">
        <v>11</v>
      </c>
      <c r="H20">
        <v>9309635814</v>
      </c>
      <c r="I20" t="s">
        <v>48</v>
      </c>
      <c r="J20">
        <v>3238</v>
      </c>
      <c r="K20" t="s">
        <v>38</v>
      </c>
      <c r="L20" t="s">
        <v>14</v>
      </c>
      <c r="M20" t="s">
        <v>30</v>
      </c>
      <c r="N20" t="str">
        <f>IF(Table3_1[[#This Row],[Amount]]&gt;=4000,"large order","small order")</f>
        <v>small order</v>
      </c>
      <c r="O20" t="s">
        <v>39</v>
      </c>
    </row>
    <row r="21" spans="1:15" x14ac:dyDescent="0.35">
      <c r="A21">
        <v>120</v>
      </c>
      <c r="B21" t="s">
        <v>10</v>
      </c>
      <c r="C21" t="str">
        <f>IF(WEEKDAY(Table3_1[[#This Row],[Date]])&gt;5,"weekend","weekday")</f>
        <v>weekday</v>
      </c>
      <c r="D21">
        <f>MONTH(Table3_1[[#This Row],[Date]])</f>
        <v>3</v>
      </c>
      <c r="E21" s="1">
        <v>46101</v>
      </c>
      <c r="F21" s="1" t="str">
        <f>IF(Table3_1[[#This Row],[todays date-9]]-Table3_1[[#This Row],[Date]]&gt;7,"old order","recent order")</f>
        <v>old order</v>
      </c>
      <c r="G21" t="s">
        <v>13</v>
      </c>
      <c r="H21">
        <v>9587836292</v>
      </c>
      <c r="I21" t="s">
        <v>16</v>
      </c>
      <c r="J21">
        <v>5291</v>
      </c>
      <c r="K21" t="s">
        <v>49</v>
      </c>
      <c r="L21" t="s">
        <v>14</v>
      </c>
      <c r="M21" t="s">
        <v>42</v>
      </c>
      <c r="N21" t="str">
        <f>IF(Table3_1[[#This Row],[Amount]]&gt;=4000,"large order","small order")</f>
        <v>large order</v>
      </c>
      <c r="O21" t="s">
        <v>39</v>
      </c>
    </row>
    <row r="22" spans="1:15" x14ac:dyDescent="0.35">
      <c r="A22">
        <v>121</v>
      </c>
      <c r="B22" t="s">
        <v>43</v>
      </c>
      <c r="C22" t="str">
        <f>IF(WEEKDAY(Table3_1[[#This Row],[Date]])&gt;5,"weekend","weekday")</f>
        <v>weekday</v>
      </c>
      <c r="D22">
        <f>MONTH(Table3_1[[#This Row],[Date]])</f>
        <v>3</v>
      </c>
      <c r="E22" s="1">
        <v>46101</v>
      </c>
      <c r="F22" s="1" t="str">
        <f>IF(Table3_1[[#This Row],[todays date-9]]-Table3_1[[#This Row],[Date]]&gt;7,"old order","recent order")</f>
        <v>old order</v>
      </c>
      <c r="G22" t="s">
        <v>51</v>
      </c>
      <c r="H22">
        <v>9166436490</v>
      </c>
      <c r="I22" t="s">
        <v>12</v>
      </c>
      <c r="J22">
        <v>4925</v>
      </c>
      <c r="K22" t="s">
        <v>53</v>
      </c>
      <c r="L22" t="s">
        <v>15</v>
      </c>
      <c r="M22" t="s">
        <v>30</v>
      </c>
      <c r="N22" t="str">
        <f>IF(Table3_1[[#This Row],[Amount]]&gt;=4000,"large order","small order")</f>
        <v>large order</v>
      </c>
      <c r="O22" t="s">
        <v>31</v>
      </c>
    </row>
    <row r="23" spans="1:15" x14ac:dyDescent="0.35">
      <c r="A23">
        <v>122</v>
      </c>
      <c r="B23" t="s">
        <v>58</v>
      </c>
      <c r="C23" t="str">
        <f>IF(WEEKDAY(Table3_1[[#This Row],[Date]])&gt;5,"weekend","weekday")</f>
        <v>weekday</v>
      </c>
      <c r="D23">
        <f>MONTH(Table3_1[[#This Row],[Date]])</f>
        <v>3</v>
      </c>
      <c r="E23" s="1">
        <v>46101</v>
      </c>
      <c r="F23" s="1" t="str">
        <f>IF(Table3_1[[#This Row],[todays date-9]]-Table3_1[[#This Row],[Date]]&gt;7,"old order","recent order")</f>
        <v>old order</v>
      </c>
      <c r="G23" t="s">
        <v>36</v>
      </c>
      <c r="H23">
        <v>9302112943</v>
      </c>
      <c r="I23" t="s">
        <v>19</v>
      </c>
      <c r="J23">
        <v>5627</v>
      </c>
      <c r="K23" t="s">
        <v>49</v>
      </c>
      <c r="L23" t="s">
        <v>14</v>
      </c>
      <c r="M23" t="s">
        <v>34</v>
      </c>
      <c r="N23" t="str">
        <f>IF(Table3_1[[#This Row],[Amount]]&gt;=4000,"large order","small order")</f>
        <v>large order</v>
      </c>
      <c r="O23" t="s">
        <v>31</v>
      </c>
    </row>
    <row r="24" spans="1:15" x14ac:dyDescent="0.35">
      <c r="A24">
        <v>123</v>
      </c>
      <c r="B24" t="s">
        <v>20</v>
      </c>
      <c r="C24" t="str">
        <f>IF(WEEKDAY(Table3_1[[#This Row],[Date]])&gt;5,"weekend","weekday")</f>
        <v>weekend</v>
      </c>
      <c r="D24">
        <f>MONTH(Table3_1[[#This Row],[Date]])</f>
        <v>3</v>
      </c>
      <c r="E24" s="1">
        <v>46101</v>
      </c>
      <c r="F24" s="1" t="str">
        <f>IF(Table3_1[[#This Row],[todays date-9]]-Table3_1[[#This Row],[Date]]&gt;7,"old order","recent order")</f>
        <v>recent order</v>
      </c>
      <c r="G24" t="s">
        <v>44</v>
      </c>
      <c r="H24">
        <v>9651517836</v>
      </c>
      <c r="I24" t="s">
        <v>21</v>
      </c>
      <c r="J24">
        <v>2836</v>
      </c>
      <c r="K24" t="s">
        <v>33</v>
      </c>
      <c r="L24" t="s">
        <v>15</v>
      </c>
      <c r="M24" t="s">
        <v>34</v>
      </c>
      <c r="N24" t="str">
        <f>IF(Table3_1[[#This Row],[Amount]]&gt;=4000,"large order","small order")</f>
        <v>small order</v>
      </c>
      <c r="O24" t="s">
        <v>31</v>
      </c>
    </row>
    <row r="25" spans="1:15" x14ac:dyDescent="0.35">
      <c r="A25">
        <v>124</v>
      </c>
      <c r="B25" t="s">
        <v>61</v>
      </c>
      <c r="C25" t="str">
        <f>IF(WEEKDAY(Table3_1[[#This Row],[Date]])&gt;5,"weekend","weekday")</f>
        <v>weekday</v>
      </c>
      <c r="D25">
        <f>MONTH(Table3_1[[#This Row],[Date]])</f>
        <v>3</v>
      </c>
      <c r="E25" s="1">
        <v>46101</v>
      </c>
      <c r="F25" s="1" t="str">
        <f>IF(Table3_1[[#This Row],[todays date-9]]-Table3_1[[#This Row],[Date]]&gt;7,"old order","recent order")</f>
        <v>old order</v>
      </c>
      <c r="G25" t="s">
        <v>36</v>
      </c>
      <c r="H25">
        <v>9456450560</v>
      </c>
      <c r="I25" t="s">
        <v>22</v>
      </c>
      <c r="J25">
        <v>3540</v>
      </c>
      <c r="K25" t="s">
        <v>38</v>
      </c>
      <c r="L25" t="s">
        <v>15</v>
      </c>
      <c r="M25" t="s">
        <v>34</v>
      </c>
      <c r="N25" t="str">
        <f>IF(Table3_1[[#This Row],[Amount]]&gt;=4000,"large order","small order")</f>
        <v>small order</v>
      </c>
      <c r="O25" t="s">
        <v>31</v>
      </c>
    </row>
    <row r="26" spans="1:15" x14ac:dyDescent="0.35">
      <c r="A26">
        <v>125</v>
      </c>
      <c r="B26" t="s">
        <v>55</v>
      </c>
      <c r="C26" t="str">
        <f>IF(WEEKDAY(Table3_1[[#This Row],[Date]])&gt;5,"weekend","weekday")</f>
        <v>weekday</v>
      </c>
      <c r="D26">
        <f>MONTH(Table3_1[[#This Row],[Date]])</f>
        <v>3</v>
      </c>
      <c r="E26" s="1">
        <v>46101</v>
      </c>
      <c r="F26" s="1" t="str">
        <f>IF(Table3_1[[#This Row],[todays date-9]]-Table3_1[[#This Row],[Date]]&gt;7,"old order","recent order")</f>
        <v>old order</v>
      </c>
      <c r="G26" t="s">
        <v>51</v>
      </c>
      <c r="H26">
        <v>9490687752</v>
      </c>
      <c r="I26" t="s">
        <v>57</v>
      </c>
      <c r="J26">
        <v>4899</v>
      </c>
      <c r="K26" t="s">
        <v>53</v>
      </c>
      <c r="L26" t="s">
        <v>14</v>
      </c>
      <c r="M26" t="s">
        <v>42</v>
      </c>
      <c r="N26" t="str">
        <f>IF(Table3_1[[#This Row],[Amount]]&gt;=4000,"large order","small order")</f>
        <v>large order</v>
      </c>
      <c r="O26" t="s">
        <v>31</v>
      </c>
    </row>
    <row r="27" spans="1:15" x14ac:dyDescent="0.35">
      <c r="A27">
        <v>126</v>
      </c>
      <c r="B27" t="s">
        <v>35</v>
      </c>
      <c r="C27" t="str">
        <f>IF(WEEKDAY(Table3_1[[#This Row],[Date]])&gt;5,"weekend","weekday")</f>
        <v>weekday</v>
      </c>
      <c r="D27">
        <f>MONTH(Table3_1[[#This Row],[Date]])</f>
        <v>3</v>
      </c>
      <c r="E27" s="1">
        <v>46101</v>
      </c>
      <c r="F27" s="1" t="str">
        <f>IF(Table3_1[[#This Row],[todays date-9]]-Table3_1[[#This Row],[Date]]&gt;7,"old order","recent order")</f>
        <v>old order</v>
      </c>
      <c r="G27" t="s">
        <v>51</v>
      </c>
      <c r="H27">
        <v>9026633344</v>
      </c>
      <c r="I27" t="s">
        <v>37</v>
      </c>
      <c r="J27">
        <v>1311</v>
      </c>
      <c r="K27" t="s">
        <v>38</v>
      </c>
      <c r="L27" t="s">
        <v>15</v>
      </c>
      <c r="M27" t="s">
        <v>34</v>
      </c>
      <c r="N27" t="str">
        <f>IF(Table3_1[[#This Row],[Amount]]&gt;=4000,"large order","small order")</f>
        <v>small order</v>
      </c>
      <c r="O27" t="s">
        <v>31</v>
      </c>
    </row>
    <row r="28" spans="1:15" x14ac:dyDescent="0.35">
      <c r="A28">
        <v>127</v>
      </c>
      <c r="B28" t="s">
        <v>61</v>
      </c>
      <c r="C28" t="str">
        <f>IF(WEEKDAY(Table3_1[[#This Row],[Date]])&gt;5,"weekend","weekday")</f>
        <v>weekday</v>
      </c>
      <c r="D28">
        <f>MONTH(Table3_1[[#This Row],[Date]])</f>
        <v>3</v>
      </c>
      <c r="E28" s="1">
        <v>46101</v>
      </c>
      <c r="F28" s="1" t="str">
        <f>IF(Table3_1[[#This Row],[todays date-9]]-Table3_1[[#This Row],[Date]]&gt;7,"old order","recent order")</f>
        <v>old order</v>
      </c>
      <c r="G28" t="s">
        <v>11</v>
      </c>
      <c r="H28">
        <v>9822113157</v>
      </c>
      <c r="I28" t="s">
        <v>62</v>
      </c>
      <c r="J28">
        <v>4303</v>
      </c>
      <c r="K28" t="s">
        <v>63</v>
      </c>
      <c r="L28" t="s">
        <v>14</v>
      </c>
      <c r="M28" t="s">
        <v>34</v>
      </c>
      <c r="N28" t="str">
        <f>IF(Table3_1[[#This Row],[Amount]]&gt;=4000,"large order","small order")</f>
        <v>large order</v>
      </c>
      <c r="O28" t="s">
        <v>31</v>
      </c>
    </row>
    <row r="29" spans="1:15" x14ac:dyDescent="0.35">
      <c r="A29">
        <v>128</v>
      </c>
      <c r="B29" t="s">
        <v>43</v>
      </c>
      <c r="C29" t="str">
        <f>IF(WEEKDAY(Table3_1[[#This Row],[Date]])&gt;5,"weekend","weekday")</f>
        <v>weekday</v>
      </c>
      <c r="D29">
        <f>MONTH(Table3_1[[#This Row],[Date]])</f>
        <v>3</v>
      </c>
      <c r="E29" s="1">
        <v>46101</v>
      </c>
      <c r="F29" s="1" t="str">
        <f>IF(Table3_1[[#This Row],[todays date-9]]-Table3_1[[#This Row],[Date]]&gt;7,"old order","recent order")</f>
        <v>recent order</v>
      </c>
      <c r="G29" t="s">
        <v>64</v>
      </c>
      <c r="H29">
        <v>9926148</v>
      </c>
      <c r="I29" t="s">
        <v>12</v>
      </c>
      <c r="J29">
        <v>4510</v>
      </c>
      <c r="K29" t="s">
        <v>29</v>
      </c>
      <c r="L29" t="s">
        <v>15</v>
      </c>
      <c r="M29" t="s">
        <v>30</v>
      </c>
      <c r="N29" t="str">
        <f>IF(Table3_1[[#This Row],[Amount]]&gt;=4000,"large order","small order")</f>
        <v>large order</v>
      </c>
      <c r="O29" t="s">
        <v>31</v>
      </c>
    </row>
    <row r="30" spans="1:15" x14ac:dyDescent="0.35">
      <c r="A30">
        <v>129</v>
      </c>
      <c r="B30" t="s">
        <v>10</v>
      </c>
      <c r="C30" t="str">
        <f>IF(WEEKDAY(Table3_1[[#This Row],[Date]])&gt;5,"weekend","weekday")</f>
        <v>weekday</v>
      </c>
      <c r="D30">
        <f>MONTH(Table3_1[[#This Row],[Date]])</f>
        <v>3</v>
      </c>
      <c r="E30" s="1">
        <v>46101</v>
      </c>
      <c r="F30" s="1" t="str">
        <f>IF(Table3_1[[#This Row],[todays date-9]]-Table3_1[[#This Row],[Date]]&gt;7,"old order","recent order")</f>
        <v>old order</v>
      </c>
      <c r="G30" t="s">
        <v>51</v>
      </c>
      <c r="H30">
        <v>9840168459</v>
      </c>
      <c r="I30" t="s">
        <v>16</v>
      </c>
      <c r="J30">
        <v>1605</v>
      </c>
      <c r="K30" t="s">
        <v>38</v>
      </c>
      <c r="L30" t="s">
        <v>14</v>
      </c>
      <c r="M30" t="s">
        <v>30</v>
      </c>
      <c r="N30" t="str">
        <f>IF(Table3_1[[#This Row],[Amount]]&gt;=4000,"large order","small order")</f>
        <v>small order</v>
      </c>
      <c r="O30" t="s">
        <v>39</v>
      </c>
    </row>
    <row r="31" spans="1:15" x14ac:dyDescent="0.35">
      <c r="A31">
        <v>130</v>
      </c>
      <c r="B31" t="s">
        <v>55</v>
      </c>
      <c r="C31" t="str">
        <f>IF(WEEKDAY(Table3_1[[#This Row],[Date]])&gt;5,"weekend","weekday")</f>
        <v>weekday</v>
      </c>
      <c r="D31">
        <f>MONTH(Table3_1[[#This Row],[Date]])</f>
        <v>3</v>
      </c>
      <c r="E31" s="1">
        <v>46101</v>
      </c>
      <c r="F31" s="1" t="str">
        <f>IF(Table3_1[[#This Row],[todays date-9]]-Table3_1[[#This Row],[Date]]&gt;7,"old order","recent order")</f>
        <v>recent order</v>
      </c>
      <c r="G31" t="s">
        <v>56</v>
      </c>
      <c r="H31">
        <v>977876612</v>
      </c>
      <c r="I31" t="s">
        <v>23</v>
      </c>
      <c r="J31">
        <v>4456</v>
      </c>
      <c r="K31" t="s">
        <v>53</v>
      </c>
      <c r="L31" t="s">
        <v>14</v>
      </c>
      <c r="M31" t="s">
        <v>42</v>
      </c>
      <c r="N31" t="str">
        <f>IF(Table3_1[[#This Row],[Amount]]&gt;=4000,"large order","small order")</f>
        <v>large order</v>
      </c>
      <c r="O31" t="s">
        <v>31</v>
      </c>
    </row>
    <row r="32" spans="1:15" x14ac:dyDescent="0.35">
      <c r="A32">
        <v>131</v>
      </c>
      <c r="B32" t="s">
        <v>27</v>
      </c>
      <c r="C32" t="str">
        <f>IF(WEEKDAY(Table3_1[[#This Row],[Date]])&gt;5,"weekend","weekday")</f>
        <v>weekend</v>
      </c>
      <c r="D32">
        <f>MONTH(Table3_1[[#This Row],[Date]])</f>
        <v>3</v>
      </c>
      <c r="E32" s="1">
        <v>46101</v>
      </c>
      <c r="F32" s="1" t="str">
        <f>IF(Table3_1[[#This Row],[todays date-9]]-Table3_1[[#This Row],[Date]]&gt;7,"old order","recent order")</f>
        <v>old order</v>
      </c>
      <c r="G32" t="s">
        <v>32</v>
      </c>
      <c r="H32">
        <v>9006350</v>
      </c>
      <c r="I32" t="s">
        <v>24</v>
      </c>
      <c r="J32">
        <v>3139</v>
      </c>
      <c r="K32" t="s">
        <v>38</v>
      </c>
      <c r="L32" t="s">
        <v>14</v>
      </c>
      <c r="M32" t="s">
        <v>34</v>
      </c>
      <c r="N32" t="str">
        <f>IF(Table3_1[[#This Row],[Amount]]&gt;=4000,"large order","small order")</f>
        <v>small order</v>
      </c>
      <c r="O32" t="s">
        <v>39</v>
      </c>
    </row>
    <row r="33" spans="1:15" x14ac:dyDescent="0.35">
      <c r="A33">
        <v>132</v>
      </c>
      <c r="B33" t="s">
        <v>43</v>
      </c>
      <c r="C33" t="str">
        <f>IF(WEEKDAY(Table3_1[[#This Row],[Date]])&gt;5,"weekend","weekday")</f>
        <v>weekday</v>
      </c>
      <c r="D33">
        <f>MONTH(Table3_1[[#This Row],[Date]])</f>
        <v>3</v>
      </c>
      <c r="E33" s="1">
        <v>46101</v>
      </c>
      <c r="F33" s="1" t="str">
        <f>IF(Table3_1[[#This Row],[todays date-9]]-Table3_1[[#This Row],[Date]]&gt;7,"old order","recent order")</f>
        <v>old order</v>
      </c>
      <c r="G33" t="s">
        <v>36</v>
      </c>
      <c r="H33">
        <v>9357446896</v>
      </c>
      <c r="I33" t="s">
        <v>54</v>
      </c>
      <c r="J33">
        <v>2125</v>
      </c>
      <c r="K33" t="s">
        <v>47</v>
      </c>
      <c r="L33" t="s">
        <v>14</v>
      </c>
      <c r="M33" t="s">
        <v>42</v>
      </c>
      <c r="N33" t="str">
        <f>IF(Table3_1[[#This Row],[Amount]]&gt;=4000,"large order","small order")</f>
        <v>small order</v>
      </c>
      <c r="O33" t="s">
        <v>31</v>
      </c>
    </row>
    <row r="34" spans="1:15" x14ac:dyDescent="0.35">
      <c r="A34">
        <v>133</v>
      </c>
      <c r="B34" t="s">
        <v>40</v>
      </c>
      <c r="C34" t="str">
        <f>IF(WEEKDAY(Table3_1[[#This Row],[Date]])&gt;5,"weekend","weekday")</f>
        <v>weekday</v>
      </c>
      <c r="D34">
        <f>MONTH(Table3_1[[#This Row],[Date]])</f>
        <v>3</v>
      </c>
      <c r="E34" s="1">
        <v>46101</v>
      </c>
      <c r="F34" s="1" t="str">
        <f>IF(Table3_1[[#This Row],[todays date-9]]-Table3_1[[#This Row],[Date]]&gt;7,"old order","recent order")</f>
        <v>old order</v>
      </c>
      <c r="G34" t="s">
        <v>11</v>
      </c>
      <c r="H34">
        <v>9738174111</v>
      </c>
      <c r="I34" t="s">
        <v>41</v>
      </c>
      <c r="J34">
        <v>5414</v>
      </c>
      <c r="K34" t="s">
        <v>63</v>
      </c>
      <c r="L34" t="s">
        <v>14</v>
      </c>
      <c r="M34" t="s">
        <v>34</v>
      </c>
      <c r="N34" t="str">
        <f>IF(Table3_1[[#This Row],[Amount]]&gt;=4000,"large order","small order")</f>
        <v>large order</v>
      </c>
      <c r="O34" t="s">
        <v>31</v>
      </c>
    </row>
    <row r="35" spans="1:15" x14ac:dyDescent="0.35">
      <c r="A35">
        <v>134</v>
      </c>
      <c r="B35" t="s">
        <v>10</v>
      </c>
      <c r="C35" t="str">
        <f>IF(WEEKDAY(Table3_1[[#This Row],[Date]])&gt;5,"weekend","weekday")</f>
        <v>weekend</v>
      </c>
      <c r="D35">
        <f>MONTH(Table3_1[[#This Row],[Date]])</f>
        <v>3</v>
      </c>
      <c r="E35" s="1">
        <v>46101</v>
      </c>
      <c r="F35" s="1" t="str">
        <f>IF(Table3_1[[#This Row],[todays date-9]]-Table3_1[[#This Row],[Date]]&gt;7,"old order","recent order")</f>
        <v>recent order</v>
      </c>
      <c r="G35" t="s">
        <v>44</v>
      </c>
      <c r="H35">
        <v>9082092328</v>
      </c>
      <c r="I35" t="s">
        <v>16</v>
      </c>
      <c r="J35">
        <v>3078</v>
      </c>
      <c r="K35" t="s">
        <v>53</v>
      </c>
      <c r="L35" t="s">
        <v>14</v>
      </c>
      <c r="M35" t="s">
        <v>34</v>
      </c>
      <c r="N35" t="str">
        <f>IF(Table3_1[[#This Row],[Amount]]&gt;=4000,"large order","small order")</f>
        <v>small order</v>
      </c>
      <c r="O35" t="s">
        <v>31</v>
      </c>
    </row>
    <row r="36" spans="1:15" x14ac:dyDescent="0.35">
      <c r="A36">
        <v>135</v>
      </c>
      <c r="B36" t="s">
        <v>61</v>
      </c>
      <c r="C36" t="str">
        <f>IF(WEEKDAY(Table3_1[[#This Row],[Date]])&gt;5,"weekend","weekday")</f>
        <v>weekend</v>
      </c>
      <c r="D36">
        <f>MONTH(Table3_1[[#This Row],[Date]])</f>
        <v>3</v>
      </c>
      <c r="E36" s="1">
        <v>46101</v>
      </c>
      <c r="F36" s="1" t="str">
        <f>IF(Table3_1[[#This Row],[todays date-9]]-Table3_1[[#This Row],[Date]]&gt;7,"old order","recent order")</f>
        <v>old order</v>
      </c>
      <c r="G36" t="s">
        <v>32</v>
      </c>
      <c r="H36">
        <v>9333438882</v>
      </c>
      <c r="I36" t="s">
        <v>62</v>
      </c>
      <c r="J36">
        <v>3180</v>
      </c>
      <c r="K36" t="s">
        <v>63</v>
      </c>
      <c r="L36" t="s">
        <v>14</v>
      </c>
      <c r="M36" t="s">
        <v>30</v>
      </c>
      <c r="N36" t="str">
        <f>IF(Table3_1[[#This Row],[Amount]]&gt;=4000,"large order","small order")</f>
        <v>small order</v>
      </c>
      <c r="O36" t="s">
        <v>31</v>
      </c>
    </row>
    <row r="37" spans="1:15" x14ac:dyDescent="0.35">
      <c r="A37">
        <v>136</v>
      </c>
      <c r="B37" t="s">
        <v>17</v>
      </c>
      <c r="C37" t="str">
        <f>IF(WEEKDAY(Table3_1[[#This Row],[Date]])&gt;5,"weekend","weekday")</f>
        <v>weekend</v>
      </c>
      <c r="D37">
        <f>MONTH(Table3_1[[#This Row],[Date]])</f>
        <v>3</v>
      </c>
      <c r="E37" s="1">
        <v>46101</v>
      </c>
      <c r="F37" s="1" t="str">
        <f>IF(Table3_1[[#This Row],[todays date-9]]-Table3_1[[#This Row],[Date]]&gt;7,"old order","recent order")</f>
        <v>recent order</v>
      </c>
      <c r="G37" t="s">
        <v>44</v>
      </c>
      <c r="H37">
        <v>9460696530</v>
      </c>
      <c r="I37" t="s">
        <v>52</v>
      </c>
      <c r="J37">
        <v>1284</v>
      </c>
      <c r="K37" t="s">
        <v>38</v>
      </c>
      <c r="L37" t="s">
        <v>15</v>
      </c>
      <c r="M37" t="s">
        <v>34</v>
      </c>
      <c r="N37" t="str">
        <f>IF(Table3_1[[#This Row],[Amount]]&gt;=4000,"large order","small order")</f>
        <v>small order</v>
      </c>
      <c r="O37" t="s">
        <v>39</v>
      </c>
    </row>
    <row r="38" spans="1:15" x14ac:dyDescent="0.35">
      <c r="A38">
        <v>137</v>
      </c>
      <c r="B38" t="s">
        <v>61</v>
      </c>
      <c r="C38" t="str">
        <f>IF(WEEKDAY(Table3_1[[#This Row],[Date]])&gt;5,"weekend","weekday")</f>
        <v>weekday</v>
      </c>
      <c r="D38">
        <f>MONTH(Table3_1[[#This Row],[Date]])</f>
        <v>3</v>
      </c>
      <c r="E38" s="1">
        <v>46101</v>
      </c>
      <c r="F38" s="1" t="str">
        <f>IF(Table3_1[[#This Row],[todays date-9]]-Table3_1[[#This Row],[Date]]&gt;7,"old order","recent order")</f>
        <v>old order</v>
      </c>
      <c r="G38" t="s">
        <v>51</v>
      </c>
      <c r="H38">
        <v>9872943352</v>
      </c>
      <c r="I38" t="s">
        <v>62</v>
      </c>
      <c r="J38">
        <v>4441</v>
      </c>
      <c r="K38" t="s">
        <v>47</v>
      </c>
      <c r="L38" t="s">
        <v>14</v>
      </c>
      <c r="M38" t="s">
        <v>34</v>
      </c>
      <c r="N38" t="str">
        <f>IF(Table3_1[[#This Row],[Amount]]&gt;=4000,"large order","small order")</f>
        <v>large order</v>
      </c>
      <c r="O38" t="s">
        <v>31</v>
      </c>
    </row>
    <row r="39" spans="1:15" x14ac:dyDescent="0.35">
      <c r="A39">
        <v>138</v>
      </c>
      <c r="B39" t="s">
        <v>55</v>
      </c>
      <c r="C39" t="str">
        <f>IF(WEEKDAY(Table3_1[[#This Row],[Date]])&gt;5,"weekend","weekday")</f>
        <v>weekend</v>
      </c>
      <c r="D39">
        <f>MONTH(Table3_1[[#This Row],[Date]])</f>
        <v>3</v>
      </c>
      <c r="E39" s="1">
        <v>46101</v>
      </c>
      <c r="F39" s="1" t="str">
        <f>IF(Table3_1[[#This Row],[todays date-9]]-Table3_1[[#This Row],[Date]]&gt;7,"old order","recent order")</f>
        <v>recent order</v>
      </c>
      <c r="G39" t="s">
        <v>44</v>
      </c>
      <c r="H39">
        <v>9859265079</v>
      </c>
      <c r="I39" t="s">
        <v>23</v>
      </c>
      <c r="J39">
        <v>3970</v>
      </c>
      <c r="K39" t="s">
        <v>38</v>
      </c>
      <c r="L39" t="s">
        <v>15</v>
      </c>
      <c r="M39" t="s">
        <v>42</v>
      </c>
      <c r="N39" t="str">
        <f>IF(Table3_1[[#This Row],[Amount]]&gt;=4000,"large order","small order")</f>
        <v>small order</v>
      </c>
      <c r="O39" t="s">
        <v>39</v>
      </c>
    </row>
    <row r="40" spans="1:15" x14ac:dyDescent="0.35">
      <c r="A40">
        <v>139</v>
      </c>
      <c r="B40" t="s">
        <v>43</v>
      </c>
      <c r="C40" t="str">
        <f>IF(WEEKDAY(Table3_1[[#This Row],[Date]])&gt;5,"weekend","weekday")</f>
        <v>weekend</v>
      </c>
      <c r="D40">
        <f>MONTH(Table3_1[[#This Row],[Date]])</f>
        <v>3</v>
      </c>
      <c r="E40" s="1">
        <v>46101</v>
      </c>
      <c r="F40" s="1" t="str">
        <f>IF(Table3_1[[#This Row],[todays date-9]]-Table3_1[[#This Row],[Date]]&gt;7,"old order","recent order")</f>
        <v>recent order</v>
      </c>
      <c r="G40" t="s">
        <v>44</v>
      </c>
      <c r="H40">
        <v>9263915681</v>
      </c>
      <c r="I40" t="s">
        <v>54</v>
      </c>
      <c r="J40">
        <v>3073</v>
      </c>
      <c r="K40" t="s">
        <v>63</v>
      </c>
      <c r="L40" t="s">
        <v>15</v>
      </c>
      <c r="M40" t="s">
        <v>34</v>
      </c>
      <c r="N40" t="str">
        <f>IF(Table3_1[[#This Row],[Amount]]&gt;=4000,"large order","small order")</f>
        <v>small order</v>
      </c>
      <c r="O40" t="s">
        <v>31</v>
      </c>
    </row>
    <row r="41" spans="1:15" x14ac:dyDescent="0.35">
      <c r="A41">
        <v>140</v>
      </c>
      <c r="B41" t="s">
        <v>20</v>
      </c>
      <c r="C41" t="str">
        <f>IF(WEEKDAY(Table3_1[[#This Row],[Date]])&gt;5,"weekend","weekday")</f>
        <v>weekday</v>
      </c>
      <c r="D41">
        <f>MONTH(Table3_1[[#This Row],[Date]])</f>
        <v>3</v>
      </c>
      <c r="E41" s="1">
        <v>46101</v>
      </c>
      <c r="F41" s="1" t="str">
        <f>IF(Table3_1[[#This Row],[todays date-9]]-Table3_1[[#This Row],[Date]]&gt;7,"old order","recent order")</f>
        <v>recent order</v>
      </c>
      <c r="G41" t="s">
        <v>56</v>
      </c>
      <c r="H41">
        <v>9156822905</v>
      </c>
      <c r="I41" t="s">
        <v>65</v>
      </c>
      <c r="J41">
        <v>4641</v>
      </c>
      <c r="K41" t="s">
        <v>53</v>
      </c>
      <c r="L41" t="s">
        <v>14</v>
      </c>
      <c r="M41" t="s">
        <v>34</v>
      </c>
      <c r="N41" t="str">
        <f>IF(Table3_1[[#This Row],[Amount]]&gt;=4000,"large order","small order")</f>
        <v>large order</v>
      </c>
      <c r="O41" t="s">
        <v>31</v>
      </c>
    </row>
    <row r="42" spans="1:15" x14ac:dyDescent="0.35">
      <c r="A42">
        <v>141</v>
      </c>
      <c r="B42" t="s">
        <v>20</v>
      </c>
      <c r="C42" t="str">
        <f>IF(WEEKDAY(Table3_1[[#This Row],[Date]])&gt;5,"weekend","weekday")</f>
        <v>weekday</v>
      </c>
      <c r="D42">
        <f>MONTH(Table3_1[[#This Row],[Date]])</f>
        <v>3</v>
      </c>
      <c r="E42" s="1">
        <v>46101</v>
      </c>
      <c r="F42" s="1" t="str">
        <f>IF(Table3_1[[#This Row],[todays date-9]]-Table3_1[[#This Row],[Date]]&gt;7,"old order","recent order")</f>
        <v>old order</v>
      </c>
      <c r="G42" t="s">
        <v>13</v>
      </c>
      <c r="H42">
        <v>9891611996</v>
      </c>
      <c r="I42" t="s">
        <v>21</v>
      </c>
      <c r="J42">
        <v>5876</v>
      </c>
      <c r="K42" t="s">
        <v>45</v>
      </c>
      <c r="L42" t="s">
        <v>15</v>
      </c>
      <c r="M42" t="s">
        <v>30</v>
      </c>
      <c r="N42" t="str">
        <f>IF(Table3_1[[#This Row],[Amount]]&gt;=4000,"large order","small order")</f>
        <v>large order</v>
      </c>
      <c r="O42" t="s">
        <v>39</v>
      </c>
    </row>
    <row r="43" spans="1:15" x14ac:dyDescent="0.35">
      <c r="A43">
        <v>142</v>
      </c>
      <c r="B43" t="s">
        <v>43</v>
      </c>
      <c r="C43" t="str">
        <f>IF(WEEKDAY(Table3_1[[#This Row],[Date]])&gt;5,"weekend","weekday")</f>
        <v>weekend</v>
      </c>
      <c r="D43">
        <f>MONTH(Table3_1[[#This Row],[Date]])</f>
        <v>3</v>
      </c>
      <c r="E43" s="1">
        <v>46101</v>
      </c>
      <c r="F43" s="1" t="str">
        <f>IF(Table3_1[[#This Row],[todays date-9]]-Table3_1[[#This Row],[Date]]&gt;7,"old order","recent order")</f>
        <v>recent order</v>
      </c>
      <c r="G43" t="s">
        <v>44</v>
      </c>
      <c r="H43">
        <v>9012677101</v>
      </c>
      <c r="I43" t="s">
        <v>54</v>
      </c>
      <c r="J43">
        <v>1628</v>
      </c>
      <c r="K43" t="s">
        <v>29</v>
      </c>
      <c r="L43" t="s">
        <v>14</v>
      </c>
      <c r="M43" t="s">
        <v>30</v>
      </c>
      <c r="N43" t="str">
        <f>IF(Table3_1[[#This Row],[Amount]]&gt;=4000,"large order","small order")</f>
        <v>small order</v>
      </c>
      <c r="O43" t="s">
        <v>31</v>
      </c>
    </row>
    <row r="44" spans="1:15" x14ac:dyDescent="0.35">
      <c r="A44">
        <v>143</v>
      </c>
      <c r="B44" t="s">
        <v>17</v>
      </c>
      <c r="C44" t="str">
        <f>IF(WEEKDAY(Table3_1[[#This Row],[Date]])&gt;5,"weekend","weekday")</f>
        <v>weekday</v>
      </c>
      <c r="D44">
        <f>MONTH(Table3_1[[#This Row],[Date]])</f>
        <v>3</v>
      </c>
      <c r="E44" s="1">
        <v>46101</v>
      </c>
      <c r="F44" s="1" t="str">
        <f>IF(Table3_1[[#This Row],[todays date-9]]-Table3_1[[#This Row],[Date]]&gt;7,"old order","recent order")</f>
        <v>old order</v>
      </c>
      <c r="G44" t="s">
        <v>51</v>
      </c>
      <c r="H44">
        <v>9225284756</v>
      </c>
      <c r="I44" t="s">
        <v>52</v>
      </c>
      <c r="J44">
        <v>1698</v>
      </c>
      <c r="K44" t="s">
        <v>53</v>
      </c>
      <c r="L44" t="s">
        <v>14</v>
      </c>
      <c r="M44" t="s">
        <v>42</v>
      </c>
      <c r="N44" t="str">
        <f>IF(Table3_1[[#This Row],[Amount]]&gt;=4000,"large order","small order")</f>
        <v>small order</v>
      </c>
      <c r="O44" t="s">
        <v>31</v>
      </c>
    </row>
    <row r="45" spans="1:15" x14ac:dyDescent="0.35">
      <c r="A45">
        <v>144</v>
      </c>
      <c r="B45" t="s">
        <v>55</v>
      </c>
      <c r="C45" t="str">
        <f>IF(WEEKDAY(Table3_1[[#This Row],[Date]])&gt;5,"weekend","weekday")</f>
        <v>weekday</v>
      </c>
      <c r="D45">
        <f>MONTH(Table3_1[[#This Row],[Date]])</f>
        <v>3</v>
      </c>
      <c r="E45" s="1">
        <v>46101</v>
      </c>
      <c r="F45" s="1" t="str">
        <f>IF(Table3_1[[#This Row],[todays date-9]]-Table3_1[[#This Row],[Date]]&gt;7,"old order","recent order")</f>
        <v>recent order</v>
      </c>
      <c r="G45" t="s">
        <v>64</v>
      </c>
      <c r="H45">
        <v>9869353</v>
      </c>
      <c r="I45" t="s">
        <v>23</v>
      </c>
      <c r="J45">
        <v>1112</v>
      </c>
      <c r="K45" t="s">
        <v>63</v>
      </c>
      <c r="L45" t="s">
        <v>14</v>
      </c>
      <c r="M45" t="s">
        <v>34</v>
      </c>
      <c r="N45" t="str">
        <f>IF(Table3_1[[#This Row],[Amount]]&gt;=4000,"large order","small order")</f>
        <v>small order</v>
      </c>
      <c r="O45" t="s">
        <v>31</v>
      </c>
    </row>
    <row r="46" spans="1:15" x14ac:dyDescent="0.35">
      <c r="A46">
        <v>145</v>
      </c>
      <c r="B46" t="s">
        <v>40</v>
      </c>
      <c r="C46" t="str">
        <f>IF(WEEKDAY(Table3_1[[#This Row],[Date]])&gt;5,"weekend","weekday")</f>
        <v>weekday</v>
      </c>
      <c r="D46">
        <f>MONTH(Table3_1[[#This Row],[Date]])</f>
        <v>3</v>
      </c>
      <c r="E46" s="1">
        <v>46101</v>
      </c>
      <c r="F46" s="1" t="str">
        <f>IF(Table3_1[[#This Row],[todays date-9]]-Table3_1[[#This Row],[Date]]&gt;7,"old order","recent order")</f>
        <v>old order</v>
      </c>
      <c r="G46" t="s">
        <v>51</v>
      </c>
      <c r="H46">
        <v>9805601</v>
      </c>
      <c r="I46" t="s">
        <v>25</v>
      </c>
      <c r="J46">
        <v>3852</v>
      </c>
      <c r="K46" t="s">
        <v>59</v>
      </c>
      <c r="L46" t="s">
        <v>14</v>
      </c>
      <c r="M46" t="s">
        <v>34</v>
      </c>
      <c r="N46" t="str">
        <f>IF(Table3_1[[#This Row],[Amount]]&gt;=4000,"large order","small order")</f>
        <v>small order</v>
      </c>
      <c r="O46" t="s">
        <v>31</v>
      </c>
    </row>
    <row r="47" spans="1:15" x14ac:dyDescent="0.35">
      <c r="A47">
        <v>146</v>
      </c>
      <c r="B47" t="s">
        <v>20</v>
      </c>
      <c r="C47" t="str">
        <f>IF(WEEKDAY(Table3_1[[#This Row],[Date]])&gt;5,"weekend","weekday")</f>
        <v>weekday</v>
      </c>
      <c r="D47">
        <f>MONTH(Table3_1[[#This Row],[Date]])</f>
        <v>3</v>
      </c>
      <c r="E47" s="1">
        <v>46101</v>
      </c>
      <c r="F47" s="1" t="str">
        <f>IF(Table3_1[[#This Row],[todays date-9]]-Table3_1[[#This Row],[Date]]&gt;7,"old order","recent order")</f>
        <v>old order</v>
      </c>
      <c r="G47" t="s">
        <v>13</v>
      </c>
      <c r="H47">
        <v>9109926</v>
      </c>
      <c r="I47" t="s">
        <v>21</v>
      </c>
      <c r="J47">
        <v>1207</v>
      </c>
      <c r="K47" t="s">
        <v>59</v>
      </c>
      <c r="L47" t="s">
        <v>14</v>
      </c>
      <c r="M47" t="s">
        <v>34</v>
      </c>
      <c r="N47" t="str">
        <f>IF(Table3_1[[#This Row],[Amount]]&gt;=4000,"large order","small order")</f>
        <v>small order</v>
      </c>
      <c r="O47" t="s">
        <v>39</v>
      </c>
    </row>
    <row r="48" spans="1:15" x14ac:dyDescent="0.35">
      <c r="A48">
        <v>147</v>
      </c>
      <c r="B48" t="s">
        <v>10</v>
      </c>
      <c r="C48" t="str">
        <f>IF(WEEKDAY(Table3_1[[#This Row],[Date]])&gt;5,"weekend","weekday")</f>
        <v>weekday</v>
      </c>
      <c r="D48">
        <f>MONTH(Table3_1[[#This Row],[Date]])</f>
        <v>3</v>
      </c>
      <c r="E48" s="1">
        <v>46101</v>
      </c>
      <c r="F48" s="1" t="str">
        <f>IF(Table3_1[[#This Row],[todays date-9]]-Table3_1[[#This Row],[Date]]&gt;7,"old order","recent order")</f>
        <v>old order</v>
      </c>
      <c r="G48" t="s">
        <v>51</v>
      </c>
      <c r="H48">
        <v>9438339</v>
      </c>
      <c r="I48" t="s">
        <v>46</v>
      </c>
      <c r="J48">
        <v>4880</v>
      </c>
      <c r="K48" t="s">
        <v>45</v>
      </c>
      <c r="L48" t="s">
        <v>15</v>
      </c>
      <c r="M48" t="s">
        <v>30</v>
      </c>
      <c r="N48" t="str">
        <f>IF(Table3_1[[#This Row],[Amount]]&gt;=4000,"large order","small order")</f>
        <v>large order</v>
      </c>
      <c r="O48" t="s">
        <v>39</v>
      </c>
    </row>
    <row r="49" spans="1:15" x14ac:dyDescent="0.35">
      <c r="A49">
        <v>148</v>
      </c>
      <c r="B49" t="s">
        <v>27</v>
      </c>
      <c r="C49" t="str">
        <f>IF(WEEKDAY(Table3_1[[#This Row],[Date]])&gt;5,"weekend","weekday")</f>
        <v>weekday</v>
      </c>
      <c r="D49">
        <f>MONTH(Table3_1[[#This Row],[Date]])</f>
        <v>3</v>
      </c>
      <c r="E49" s="1">
        <v>46101</v>
      </c>
      <c r="F49" s="1" t="str">
        <f>IF(Table3_1[[#This Row],[todays date-9]]-Table3_1[[#This Row],[Date]]&gt;7,"old order","recent order")</f>
        <v>recent order</v>
      </c>
      <c r="G49" t="s">
        <v>64</v>
      </c>
      <c r="H49">
        <v>9524842042</v>
      </c>
      <c r="I49" t="s">
        <v>24</v>
      </c>
      <c r="J49">
        <v>1528</v>
      </c>
      <c r="K49" t="s">
        <v>49</v>
      </c>
      <c r="L49" t="s">
        <v>14</v>
      </c>
      <c r="M49" t="s">
        <v>42</v>
      </c>
      <c r="N49" t="str">
        <f>IF(Table3_1[[#This Row],[Amount]]&gt;=4000,"large order","small order")</f>
        <v>small order</v>
      </c>
      <c r="O49" t="s">
        <v>39</v>
      </c>
    </row>
    <row r="50" spans="1:15" x14ac:dyDescent="0.35">
      <c r="A50">
        <v>149</v>
      </c>
      <c r="B50" t="s">
        <v>27</v>
      </c>
      <c r="C50" t="str">
        <f>IF(WEEKDAY(Table3_1[[#This Row],[Date]])&gt;5,"weekend","weekday")</f>
        <v>weekday</v>
      </c>
      <c r="D50">
        <f>MONTH(Table3_1[[#This Row],[Date]])</f>
        <v>3</v>
      </c>
      <c r="E50" s="1">
        <v>46101</v>
      </c>
      <c r="F50" s="1" t="str">
        <f>IF(Table3_1[[#This Row],[todays date-9]]-Table3_1[[#This Row],[Date]]&gt;7,"old order","recent order")</f>
        <v>old order</v>
      </c>
      <c r="G50" t="s">
        <v>51</v>
      </c>
      <c r="H50">
        <v>903145191</v>
      </c>
      <c r="I50" t="s">
        <v>24</v>
      </c>
      <c r="J50">
        <v>5787</v>
      </c>
      <c r="K50" t="s">
        <v>53</v>
      </c>
      <c r="L50" t="s">
        <v>15</v>
      </c>
      <c r="M50" t="s">
        <v>34</v>
      </c>
      <c r="N50" t="str">
        <f>IF(Table3_1[[#This Row],[Amount]]&gt;=4000,"large order","small order")</f>
        <v>large order</v>
      </c>
      <c r="O50" t="s">
        <v>31</v>
      </c>
    </row>
    <row r="51" spans="1:15" x14ac:dyDescent="0.35">
      <c r="A51">
        <v>150</v>
      </c>
      <c r="B51" t="s">
        <v>43</v>
      </c>
      <c r="C51" t="str">
        <f>IF(WEEKDAY(Table3_1[[#This Row],[Date]])&gt;5,"weekend","weekday")</f>
        <v>weekend</v>
      </c>
      <c r="D51">
        <f>MONTH(Table3_1[[#This Row],[Date]])</f>
        <v>3</v>
      </c>
      <c r="E51" s="1">
        <v>46101</v>
      </c>
      <c r="F51" s="1" t="str">
        <f>IF(Table3_1[[#This Row],[todays date-9]]-Table3_1[[#This Row],[Date]]&gt;7,"old order","recent order")</f>
        <v>recent order</v>
      </c>
      <c r="G51" t="s">
        <v>44</v>
      </c>
      <c r="H51">
        <v>9506620655</v>
      </c>
      <c r="I51" t="s">
        <v>12</v>
      </c>
      <c r="J51">
        <v>3569</v>
      </c>
      <c r="K51" t="s">
        <v>53</v>
      </c>
      <c r="L51" t="s">
        <v>15</v>
      </c>
      <c r="M51" t="s">
        <v>42</v>
      </c>
      <c r="N51" t="str">
        <f>IF(Table3_1[[#This Row],[Amount]]&gt;=4000,"large order","small order")</f>
        <v>small order</v>
      </c>
      <c r="O51" t="s">
        <v>31</v>
      </c>
    </row>
    <row r="52" spans="1:15" x14ac:dyDescent="0.35">
      <c r="A52">
        <v>151</v>
      </c>
      <c r="B52" t="s">
        <v>40</v>
      </c>
      <c r="C52" t="str">
        <f>IF(WEEKDAY(Table3_1[[#This Row],[Date]])&gt;5,"weekend","weekday")</f>
        <v>weekend</v>
      </c>
      <c r="D52">
        <f>MONTH(Table3_1[[#This Row],[Date]])</f>
        <v>3</v>
      </c>
      <c r="E52" s="1">
        <v>46101</v>
      </c>
      <c r="F52" s="1" t="str">
        <f>IF(Table3_1[[#This Row],[todays date-9]]-Table3_1[[#This Row],[Date]]&gt;7,"old order","recent order")</f>
        <v>recent order</v>
      </c>
      <c r="G52" t="s">
        <v>44</v>
      </c>
      <c r="H52">
        <v>9386610</v>
      </c>
      <c r="I52" t="s">
        <v>25</v>
      </c>
      <c r="J52">
        <v>3625</v>
      </c>
      <c r="K52" t="s">
        <v>38</v>
      </c>
      <c r="L52" t="s">
        <v>14</v>
      </c>
      <c r="M52" t="s">
        <v>34</v>
      </c>
      <c r="N52" t="str">
        <f>IF(Table3_1[[#This Row],[Amount]]&gt;=4000,"large order","small order")</f>
        <v>small order</v>
      </c>
      <c r="O52" t="s">
        <v>39</v>
      </c>
    </row>
    <row r="53" spans="1:15" x14ac:dyDescent="0.35">
      <c r="A53">
        <v>152</v>
      </c>
      <c r="B53" t="s">
        <v>27</v>
      </c>
      <c r="C53" t="str">
        <f>IF(WEEKDAY(Table3_1[[#This Row],[Date]])&gt;5,"weekend","weekday")</f>
        <v>weekend</v>
      </c>
      <c r="D53">
        <f>MONTH(Table3_1[[#This Row],[Date]])</f>
        <v>3</v>
      </c>
      <c r="E53" s="1">
        <v>46101</v>
      </c>
      <c r="F53" s="1" t="str">
        <f>IF(Table3_1[[#This Row],[todays date-9]]-Table3_1[[#This Row],[Date]]&gt;7,"old order","recent order")</f>
        <v>recent order</v>
      </c>
      <c r="G53" t="s">
        <v>60</v>
      </c>
      <c r="H53">
        <v>9890682062</v>
      </c>
      <c r="I53" t="s">
        <v>24</v>
      </c>
      <c r="J53">
        <v>3493</v>
      </c>
      <c r="K53" t="s">
        <v>29</v>
      </c>
      <c r="L53" t="s">
        <v>14</v>
      </c>
      <c r="M53" t="s">
        <v>34</v>
      </c>
      <c r="N53" t="str">
        <f>IF(Table3_1[[#This Row],[Amount]]&gt;=4000,"large order","small order")</f>
        <v>small order</v>
      </c>
      <c r="O53" t="s">
        <v>31</v>
      </c>
    </row>
    <row r="54" spans="1:15" x14ac:dyDescent="0.35">
      <c r="A54">
        <v>153</v>
      </c>
      <c r="B54" t="s">
        <v>40</v>
      </c>
      <c r="C54" t="str">
        <f>IF(WEEKDAY(Table3_1[[#This Row],[Date]])&gt;5,"weekend","weekday")</f>
        <v>weekday</v>
      </c>
      <c r="D54">
        <f>MONTH(Table3_1[[#This Row],[Date]])</f>
        <v>3</v>
      </c>
      <c r="E54" s="1">
        <v>46101</v>
      </c>
      <c r="F54" s="1" t="str">
        <f>IF(Table3_1[[#This Row],[todays date-9]]-Table3_1[[#This Row],[Date]]&gt;7,"old order","recent order")</f>
        <v>old order</v>
      </c>
      <c r="G54" t="s">
        <v>51</v>
      </c>
      <c r="H54">
        <v>9389815662</v>
      </c>
      <c r="I54" t="s">
        <v>41</v>
      </c>
      <c r="J54">
        <v>4040</v>
      </c>
      <c r="K54" t="s">
        <v>18</v>
      </c>
      <c r="L54" t="s">
        <v>15</v>
      </c>
      <c r="M54" t="s">
        <v>34</v>
      </c>
      <c r="N54" t="str">
        <f>IF(Table3_1[[#This Row],[Amount]]&gt;=4000,"large order","small order")</f>
        <v>large order</v>
      </c>
      <c r="O54" t="s">
        <v>31</v>
      </c>
    </row>
    <row r="55" spans="1:15" x14ac:dyDescent="0.35">
      <c r="A55">
        <v>154</v>
      </c>
      <c r="B55" t="s">
        <v>40</v>
      </c>
      <c r="C55" t="str">
        <f>IF(WEEKDAY(Table3_1[[#This Row],[Date]])&gt;5,"weekend","weekday")</f>
        <v>weekday</v>
      </c>
      <c r="D55">
        <f>MONTH(Table3_1[[#This Row],[Date]])</f>
        <v>3</v>
      </c>
      <c r="E55" s="1">
        <v>46101</v>
      </c>
      <c r="F55" s="1" t="str">
        <f>IF(Table3_1[[#This Row],[todays date-9]]-Table3_1[[#This Row],[Date]]&gt;7,"old order","recent order")</f>
        <v>old order</v>
      </c>
      <c r="G55" t="s">
        <v>36</v>
      </c>
      <c r="H55">
        <v>9267138230</v>
      </c>
      <c r="I55" t="s">
        <v>25</v>
      </c>
      <c r="J55">
        <v>3859</v>
      </c>
      <c r="K55" t="s">
        <v>33</v>
      </c>
      <c r="L55" t="s">
        <v>14</v>
      </c>
      <c r="M55" t="s">
        <v>30</v>
      </c>
      <c r="N55" t="str">
        <f>IF(Table3_1[[#This Row],[Amount]]&gt;=4000,"large order","small order")</f>
        <v>small order</v>
      </c>
      <c r="O55" t="s">
        <v>31</v>
      </c>
    </row>
    <row r="56" spans="1:15" x14ac:dyDescent="0.35">
      <c r="A56">
        <v>155</v>
      </c>
      <c r="B56" t="s">
        <v>58</v>
      </c>
      <c r="C56" t="str">
        <f>IF(WEEKDAY(Table3_1[[#This Row],[Date]])&gt;5,"weekend","weekday")</f>
        <v>weekday</v>
      </c>
      <c r="D56">
        <f>MONTH(Table3_1[[#This Row],[Date]])</f>
        <v>3</v>
      </c>
      <c r="E56" s="1">
        <v>46101</v>
      </c>
      <c r="F56" s="1" t="str">
        <f>IF(Table3_1[[#This Row],[todays date-9]]-Table3_1[[#This Row],[Date]]&gt;7,"old order","recent order")</f>
        <v>old order</v>
      </c>
      <c r="G56" t="s">
        <v>51</v>
      </c>
      <c r="H56">
        <v>929144428</v>
      </c>
      <c r="I56" t="s">
        <v>66</v>
      </c>
      <c r="J56">
        <v>4469</v>
      </c>
      <c r="K56" t="s">
        <v>38</v>
      </c>
      <c r="L56" t="s">
        <v>15</v>
      </c>
      <c r="M56" t="s">
        <v>30</v>
      </c>
      <c r="N56" t="str">
        <f>IF(Table3_1[[#This Row],[Amount]]&gt;=4000,"large order","small order")</f>
        <v>large order</v>
      </c>
      <c r="O56" t="s">
        <v>39</v>
      </c>
    </row>
    <row r="57" spans="1:15" x14ac:dyDescent="0.35">
      <c r="A57">
        <v>156</v>
      </c>
      <c r="B57" t="s">
        <v>27</v>
      </c>
      <c r="C57" t="str">
        <f>IF(WEEKDAY(Table3_1[[#This Row],[Date]])&gt;5,"weekend","weekday")</f>
        <v>weekend</v>
      </c>
      <c r="D57">
        <f>MONTH(Table3_1[[#This Row],[Date]])</f>
        <v>3</v>
      </c>
      <c r="E57" s="1">
        <v>46101</v>
      </c>
      <c r="F57" s="1" t="str">
        <f>IF(Table3_1[[#This Row],[todays date-9]]-Table3_1[[#This Row],[Date]]&gt;7,"old order","recent order")</f>
        <v>old order</v>
      </c>
      <c r="G57" t="s">
        <v>32</v>
      </c>
      <c r="H57">
        <v>9154731027</v>
      </c>
      <c r="I57" t="s">
        <v>48</v>
      </c>
      <c r="J57">
        <v>2501</v>
      </c>
      <c r="K57" t="s">
        <v>49</v>
      </c>
      <c r="L57" t="s">
        <v>14</v>
      </c>
      <c r="M57" t="s">
        <v>42</v>
      </c>
      <c r="N57" t="str">
        <f>IF(Table3_1[[#This Row],[Amount]]&gt;=4000,"large order","small order")</f>
        <v>small order</v>
      </c>
      <c r="O57" t="s">
        <v>31</v>
      </c>
    </row>
    <row r="58" spans="1:15" x14ac:dyDescent="0.35">
      <c r="A58">
        <v>157</v>
      </c>
      <c r="B58" t="s">
        <v>17</v>
      </c>
      <c r="C58" t="str">
        <f>IF(WEEKDAY(Table3_1[[#This Row],[Date]])&gt;5,"weekend","weekday")</f>
        <v>weekend</v>
      </c>
      <c r="D58">
        <f>MONTH(Table3_1[[#This Row],[Date]])</f>
        <v>3</v>
      </c>
      <c r="E58" s="1">
        <v>46101</v>
      </c>
      <c r="F58" s="1" t="str">
        <f>IF(Table3_1[[#This Row],[todays date-9]]-Table3_1[[#This Row],[Date]]&gt;7,"old order","recent order")</f>
        <v>recent order</v>
      </c>
      <c r="G58" t="s">
        <v>60</v>
      </c>
      <c r="H58">
        <v>9153895</v>
      </c>
      <c r="I58" t="s">
        <v>52</v>
      </c>
      <c r="J58">
        <v>3837</v>
      </c>
      <c r="K58" t="s">
        <v>47</v>
      </c>
      <c r="L58" t="s">
        <v>14</v>
      </c>
      <c r="M58" t="s">
        <v>42</v>
      </c>
      <c r="N58" t="str">
        <f>IF(Table3_1[[#This Row],[Amount]]&gt;=4000,"large order","small order")</f>
        <v>small order</v>
      </c>
      <c r="O58" t="s">
        <v>31</v>
      </c>
    </row>
    <row r="59" spans="1:15" x14ac:dyDescent="0.35">
      <c r="A59">
        <v>158</v>
      </c>
      <c r="B59" t="s">
        <v>10</v>
      </c>
      <c r="C59" t="str">
        <f>IF(WEEKDAY(Table3_1[[#This Row],[Date]])&gt;5,"weekend","weekday")</f>
        <v>weekday</v>
      </c>
      <c r="D59">
        <f>MONTH(Table3_1[[#This Row],[Date]])</f>
        <v>3</v>
      </c>
      <c r="E59" s="1">
        <v>46101</v>
      </c>
      <c r="F59" s="1" t="str">
        <f>IF(Table3_1[[#This Row],[todays date-9]]-Table3_1[[#This Row],[Date]]&gt;7,"old order","recent order")</f>
        <v>old order</v>
      </c>
      <c r="G59" t="s">
        <v>28</v>
      </c>
      <c r="H59">
        <v>9744320428</v>
      </c>
      <c r="I59" t="s">
        <v>46</v>
      </c>
      <c r="J59">
        <v>3912</v>
      </c>
      <c r="K59" t="s">
        <v>47</v>
      </c>
      <c r="L59" t="s">
        <v>14</v>
      </c>
      <c r="M59" t="s">
        <v>30</v>
      </c>
      <c r="N59" t="str">
        <f>IF(Table3_1[[#This Row],[Amount]]&gt;=4000,"large order","small order")</f>
        <v>small order</v>
      </c>
      <c r="O59" t="s">
        <v>39</v>
      </c>
    </row>
    <row r="60" spans="1:15" x14ac:dyDescent="0.35">
      <c r="A60">
        <v>159</v>
      </c>
      <c r="B60" t="s">
        <v>20</v>
      </c>
      <c r="C60" t="str">
        <f>IF(WEEKDAY(Table3_1[[#This Row],[Date]])&gt;5,"weekend","weekday")</f>
        <v>weekend</v>
      </c>
      <c r="D60">
        <f>MONTH(Table3_1[[#This Row],[Date]])</f>
        <v>3</v>
      </c>
      <c r="E60" s="1">
        <v>46101</v>
      </c>
      <c r="F60" s="1" t="str">
        <f>IF(Table3_1[[#This Row],[todays date-9]]-Table3_1[[#This Row],[Date]]&gt;7,"old order","recent order")</f>
        <v>old order</v>
      </c>
      <c r="G60" t="s">
        <v>32</v>
      </c>
      <c r="H60">
        <v>9153330970</v>
      </c>
      <c r="I60" t="s">
        <v>21</v>
      </c>
      <c r="J60">
        <v>3306</v>
      </c>
      <c r="K60" t="s">
        <v>18</v>
      </c>
      <c r="L60" t="s">
        <v>14</v>
      </c>
      <c r="M60" t="s">
        <v>42</v>
      </c>
      <c r="N60" t="str">
        <f>IF(Table3_1[[#This Row],[Amount]]&gt;=4000,"large order","small order")</f>
        <v>small order</v>
      </c>
      <c r="O60" t="s">
        <v>31</v>
      </c>
    </row>
    <row r="61" spans="1:15" x14ac:dyDescent="0.35">
      <c r="A61">
        <v>160</v>
      </c>
      <c r="B61" t="s">
        <v>17</v>
      </c>
      <c r="C61" t="str">
        <f>IF(WEEKDAY(Table3_1[[#This Row],[Date]])&gt;5,"weekend","weekday")</f>
        <v>weekday</v>
      </c>
      <c r="D61">
        <f>MONTH(Table3_1[[#This Row],[Date]])</f>
        <v>3</v>
      </c>
      <c r="E61" s="1">
        <v>46101</v>
      </c>
      <c r="F61" s="1" t="str">
        <f>IF(Table3_1[[#This Row],[todays date-9]]-Table3_1[[#This Row],[Date]]&gt;7,"old order","recent order")</f>
        <v>old order</v>
      </c>
      <c r="G61" t="s">
        <v>13</v>
      </c>
      <c r="H61">
        <v>9532351903</v>
      </c>
      <c r="I61" t="s">
        <v>26</v>
      </c>
      <c r="J61">
        <v>4193</v>
      </c>
      <c r="K61" t="s">
        <v>29</v>
      </c>
      <c r="L61" t="s">
        <v>14</v>
      </c>
      <c r="M61" t="s">
        <v>34</v>
      </c>
      <c r="N61" t="str">
        <f>IF(Table3_1[[#This Row],[Amount]]&gt;=4000,"large order","small order")</f>
        <v>large order</v>
      </c>
      <c r="O61" t="s">
        <v>31</v>
      </c>
    </row>
    <row r="62" spans="1:15" x14ac:dyDescent="0.35">
      <c r="A62">
        <v>161</v>
      </c>
      <c r="B62" t="s">
        <v>61</v>
      </c>
      <c r="C62" t="str">
        <f>IF(WEEKDAY(Table3_1[[#This Row],[Date]])&gt;5,"weekend","weekday")</f>
        <v>weekday</v>
      </c>
      <c r="D62">
        <f>MONTH(Table3_1[[#This Row],[Date]])</f>
        <v>3</v>
      </c>
      <c r="E62" s="1">
        <v>46101</v>
      </c>
      <c r="F62" s="1" t="str">
        <f>IF(Table3_1[[#This Row],[todays date-9]]-Table3_1[[#This Row],[Date]]&gt;7,"old order","recent order")</f>
        <v>old order</v>
      </c>
      <c r="G62" t="s">
        <v>36</v>
      </c>
      <c r="H62">
        <v>9105888</v>
      </c>
      <c r="I62" t="s">
        <v>62</v>
      </c>
      <c r="J62">
        <v>2459</v>
      </c>
      <c r="K62" t="s">
        <v>49</v>
      </c>
      <c r="L62" t="s">
        <v>14</v>
      </c>
      <c r="M62" t="s">
        <v>30</v>
      </c>
      <c r="N62" t="str">
        <f>IF(Table3_1[[#This Row],[Amount]]&gt;=4000,"large order","small order")</f>
        <v>small order</v>
      </c>
      <c r="O62" t="s">
        <v>31</v>
      </c>
    </row>
    <row r="63" spans="1:15" x14ac:dyDescent="0.35">
      <c r="A63">
        <v>162</v>
      </c>
      <c r="B63" t="s">
        <v>55</v>
      </c>
      <c r="C63" t="str">
        <f>IF(WEEKDAY(Table3_1[[#This Row],[Date]])&gt;5,"weekend","weekday")</f>
        <v>weekday</v>
      </c>
      <c r="D63">
        <f>MONTH(Table3_1[[#This Row],[Date]])</f>
        <v>3</v>
      </c>
      <c r="E63" s="1">
        <v>46101</v>
      </c>
      <c r="F63" s="1" t="str">
        <f>IF(Table3_1[[#This Row],[todays date-9]]-Table3_1[[#This Row],[Date]]&gt;7,"old order","recent order")</f>
        <v>old order</v>
      </c>
      <c r="G63" t="s">
        <v>13</v>
      </c>
      <c r="H63">
        <v>9515621272</v>
      </c>
      <c r="I63" t="s">
        <v>57</v>
      </c>
      <c r="J63">
        <v>3148</v>
      </c>
      <c r="K63" t="s">
        <v>63</v>
      </c>
      <c r="L63" t="s">
        <v>15</v>
      </c>
      <c r="M63" t="s">
        <v>34</v>
      </c>
      <c r="N63" t="str">
        <f>IF(Table3_1[[#This Row],[Amount]]&gt;=4000,"large order","small order")</f>
        <v>small order</v>
      </c>
      <c r="O63" t="s">
        <v>31</v>
      </c>
    </row>
    <row r="64" spans="1:15" x14ac:dyDescent="0.35">
      <c r="A64">
        <v>163</v>
      </c>
      <c r="B64" t="s">
        <v>40</v>
      </c>
      <c r="C64" t="str">
        <f>IF(WEEKDAY(Table3_1[[#This Row],[Date]])&gt;5,"weekend","weekday")</f>
        <v>weekend</v>
      </c>
      <c r="D64">
        <f>MONTH(Table3_1[[#This Row],[Date]])</f>
        <v>3</v>
      </c>
      <c r="E64" s="1">
        <v>46101</v>
      </c>
      <c r="F64" s="1" t="str">
        <f>IF(Table3_1[[#This Row],[todays date-9]]-Table3_1[[#This Row],[Date]]&gt;7,"old order","recent order")</f>
        <v>old order</v>
      </c>
      <c r="G64" t="s">
        <v>32</v>
      </c>
      <c r="H64">
        <v>9812166804</v>
      </c>
      <c r="I64" t="s">
        <v>41</v>
      </c>
      <c r="J64">
        <v>4108</v>
      </c>
      <c r="K64" t="s">
        <v>63</v>
      </c>
      <c r="L64" t="s">
        <v>15</v>
      </c>
      <c r="M64" t="s">
        <v>42</v>
      </c>
      <c r="N64" t="str">
        <f>IF(Table3_1[[#This Row],[Amount]]&gt;=4000,"large order","small order")</f>
        <v>large order</v>
      </c>
      <c r="O64" t="s">
        <v>31</v>
      </c>
    </row>
    <row r="65" spans="1:15" x14ac:dyDescent="0.35">
      <c r="A65">
        <v>164</v>
      </c>
      <c r="B65" t="s">
        <v>61</v>
      </c>
      <c r="C65" t="str">
        <f>IF(WEEKDAY(Table3_1[[#This Row],[Date]])&gt;5,"weekend","weekday")</f>
        <v>weekday</v>
      </c>
      <c r="D65">
        <f>MONTH(Table3_1[[#This Row],[Date]])</f>
        <v>3</v>
      </c>
      <c r="E65" s="1">
        <v>46101</v>
      </c>
      <c r="F65" s="1" t="str">
        <f>IF(Table3_1[[#This Row],[todays date-9]]-Table3_1[[#This Row],[Date]]&gt;7,"old order","recent order")</f>
        <v>old order</v>
      </c>
      <c r="G65" t="s">
        <v>28</v>
      </c>
      <c r="H65">
        <v>9641124760</v>
      </c>
      <c r="I65" t="s">
        <v>62</v>
      </c>
      <c r="J65">
        <v>4939</v>
      </c>
      <c r="K65" t="s">
        <v>18</v>
      </c>
      <c r="L65" t="s">
        <v>15</v>
      </c>
      <c r="M65" t="s">
        <v>34</v>
      </c>
      <c r="N65" t="str">
        <f>IF(Table3_1[[#This Row],[Amount]]&gt;=4000,"large order","small order")</f>
        <v>large order</v>
      </c>
      <c r="O65" t="s">
        <v>31</v>
      </c>
    </row>
    <row r="66" spans="1:15" x14ac:dyDescent="0.35">
      <c r="A66">
        <v>165</v>
      </c>
      <c r="B66" t="s">
        <v>35</v>
      </c>
      <c r="C66" t="str">
        <f>IF(WEEKDAY(Table3_1[[#This Row],[Date]])&gt;5,"weekend","weekday")</f>
        <v>weekday</v>
      </c>
      <c r="D66">
        <f>MONTH(Table3_1[[#This Row],[Date]])</f>
        <v>3</v>
      </c>
      <c r="E66" s="1">
        <v>46101</v>
      </c>
      <c r="F66" s="1" t="str">
        <f>IF(Table3_1[[#This Row],[todays date-9]]-Table3_1[[#This Row],[Date]]&gt;7,"old order","recent order")</f>
        <v>recent order</v>
      </c>
      <c r="G66" t="s">
        <v>56</v>
      </c>
      <c r="H66">
        <v>991849737</v>
      </c>
      <c r="I66" t="s">
        <v>37</v>
      </c>
      <c r="J66">
        <v>2240</v>
      </c>
      <c r="K66" t="s">
        <v>33</v>
      </c>
      <c r="L66" t="s">
        <v>15</v>
      </c>
      <c r="M66" t="s">
        <v>30</v>
      </c>
      <c r="N66" t="str">
        <f>IF(Table3_1[[#This Row],[Amount]]&gt;=4000,"large order","small order")</f>
        <v>small order</v>
      </c>
      <c r="O66" t="s">
        <v>39</v>
      </c>
    </row>
    <row r="67" spans="1:15" x14ac:dyDescent="0.35">
      <c r="A67">
        <v>166</v>
      </c>
      <c r="B67" t="s">
        <v>17</v>
      </c>
      <c r="C67" t="str">
        <f>IF(WEEKDAY(Table3_1[[#This Row],[Date]])&gt;5,"weekend","weekday")</f>
        <v>weekend</v>
      </c>
      <c r="D67">
        <f>MONTH(Table3_1[[#This Row],[Date]])</f>
        <v>3</v>
      </c>
      <c r="E67" s="1">
        <v>46101</v>
      </c>
      <c r="F67" s="1" t="str">
        <f>IF(Table3_1[[#This Row],[todays date-9]]-Table3_1[[#This Row],[Date]]&gt;7,"old order","recent order")</f>
        <v>recent order</v>
      </c>
      <c r="G67" t="s">
        <v>44</v>
      </c>
      <c r="H67">
        <v>9754213224</v>
      </c>
      <c r="I67" t="s">
        <v>26</v>
      </c>
      <c r="J67">
        <v>4033</v>
      </c>
      <c r="K67" t="s">
        <v>29</v>
      </c>
      <c r="L67" t="s">
        <v>15</v>
      </c>
      <c r="M67" t="s">
        <v>42</v>
      </c>
      <c r="N67" t="str">
        <f>IF(Table3_1[[#This Row],[Amount]]&gt;=4000,"large order","small order")</f>
        <v>large order</v>
      </c>
      <c r="O67" t="s">
        <v>39</v>
      </c>
    </row>
    <row r="68" spans="1:15" x14ac:dyDescent="0.35">
      <c r="A68">
        <v>167</v>
      </c>
      <c r="B68" t="s">
        <v>17</v>
      </c>
      <c r="C68" t="str">
        <f>IF(WEEKDAY(Table3_1[[#This Row],[Date]])&gt;5,"weekend","weekday")</f>
        <v>weekday</v>
      </c>
      <c r="D68">
        <f>MONTH(Table3_1[[#This Row],[Date]])</f>
        <v>3</v>
      </c>
      <c r="E68" s="1">
        <v>46101</v>
      </c>
      <c r="F68" s="1" t="str">
        <f>IF(Table3_1[[#This Row],[todays date-9]]-Table3_1[[#This Row],[Date]]&gt;7,"old order","recent order")</f>
        <v>recent order</v>
      </c>
      <c r="G68" t="s">
        <v>64</v>
      </c>
      <c r="H68">
        <v>9839108465</v>
      </c>
      <c r="I68" t="s">
        <v>26</v>
      </c>
      <c r="J68">
        <v>4553</v>
      </c>
      <c r="K68" t="s">
        <v>18</v>
      </c>
      <c r="L68" t="s">
        <v>15</v>
      </c>
      <c r="M68" t="s">
        <v>34</v>
      </c>
      <c r="N68" t="str">
        <f>IF(Table3_1[[#This Row],[Amount]]&gt;=4000,"large order","small order")</f>
        <v>large order</v>
      </c>
      <c r="O68" t="s">
        <v>31</v>
      </c>
    </row>
    <row r="69" spans="1:15" x14ac:dyDescent="0.35">
      <c r="A69">
        <v>168</v>
      </c>
      <c r="B69" t="s">
        <v>27</v>
      </c>
      <c r="C69" t="str">
        <f>IF(WEEKDAY(Table3_1[[#This Row],[Date]])&gt;5,"weekend","weekday")</f>
        <v>weekday</v>
      </c>
      <c r="D69">
        <f>MONTH(Table3_1[[#This Row],[Date]])</f>
        <v>3</v>
      </c>
      <c r="E69" s="1">
        <v>46101</v>
      </c>
      <c r="F69" s="1" t="str">
        <f>IF(Table3_1[[#This Row],[todays date-9]]-Table3_1[[#This Row],[Date]]&gt;7,"old order","recent order")</f>
        <v>old order</v>
      </c>
      <c r="G69" t="s">
        <v>28</v>
      </c>
      <c r="H69">
        <v>985902257</v>
      </c>
      <c r="I69" t="s">
        <v>48</v>
      </c>
      <c r="J69">
        <v>3490</v>
      </c>
      <c r="K69" t="s">
        <v>45</v>
      </c>
      <c r="L69" t="s">
        <v>15</v>
      </c>
      <c r="M69" t="s">
        <v>30</v>
      </c>
      <c r="N69" t="str">
        <f>IF(Table3_1[[#This Row],[Amount]]&gt;=4000,"large order","small order")</f>
        <v>small order</v>
      </c>
      <c r="O69" t="s">
        <v>39</v>
      </c>
    </row>
    <row r="70" spans="1:15" x14ac:dyDescent="0.35">
      <c r="A70">
        <v>169</v>
      </c>
      <c r="B70" t="s">
        <v>10</v>
      </c>
      <c r="C70" t="str">
        <f>IF(WEEKDAY(Table3_1[[#This Row],[Date]])&gt;5,"weekend","weekday")</f>
        <v>weekday</v>
      </c>
      <c r="D70">
        <f>MONTH(Table3_1[[#This Row],[Date]])</f>
        <v>3</v>
      </c>
      <c r="E70" s="1">
        <v>46101</v>
      </c>
      <c r="F70" s="1" t="str">
        <f>IF(Table3_1[[#This Row],[todays date-9]]-Table3_1[[#This Row],[Date]]&gt;7,"old order","recent order")</f>
        <v>old order</v>
      </c>
      <c r="G70" t="s">
        <v>36</v>
      </c>
      <c r="H70">
        <v>923355790</v>
      </c>
      <c r="I70" t="s">
        <v>16</v>
      </c>
      <c r="J70">
        <v>2519</v>
      </c>
      <c r="K70" t="s">
        <v>38</v>
      </c>
      <c r="L70" t="s">
        <v>15</v>
      </c>
      <c r="M70" t="s">
        <v>42</v>
      </c>
      <c r="N70" t="str">
        <f>IF(Table3_1[[#This Row],[Amount]]&gt;=4000,"large order","small order")</f>
        <v>small order</v>
      </c>
      <c r="O70" t="s">
        <v>39</v>
      </c>
    </row>
    <row r="71" spans="1:15" x14ac:dyDescent="0.35">
      <c r="A71">
        <v>170</v>
      </c>
      <c r="B71" t="s">
        <v>20</v>
      </c>
      <c r="C71" t="str">
        <f>IF(WEEKDAY(Table3_1[[#This Row],[Date]])&gt;5,"weekend","weekday")</f>
        <v>weekend</v>
      </c>
      <c r="D71">
        <f>MONTH(Table3_1[[#This Row],[Date]])</f>
        <v>3</v>
      </c>
      <c r="E71" s="1">
        <v>46101</v>
      </c>
      <c r="F71" s="1" t="str">
        <f>IF(Table3_1[[#This Row],[todays date-9]]-Table3_1[[#This Row],[Date]]&gt;7,"old order","recent order")</f>
        <v>recent order</v>
      </c>
      <c r="G71" t="s">
        <v>60</v>
      </c>
      <c r="H71">
        <v>9070710</v>
      </c>
      <c r="I71" t="s">
        <v>21</v>
      </c>
      <c r="J71">
        <v>3604</v>
      </c>
      <c r="K71" t="s">
        <v>33</v>
      </c>
      <c r="L71" t="s">
        <v>14</v>
      </c>
      <c r="M71" t="s">
        <v>42</v>
      </c>
      <c r="N71" t="str">
        <f>IF(Table3_1[[#This Row],[Amount]]&gt;=4000,"large order","small order")</f>
        <v>small order</v>
      </c>
      <c r="O71" t="s">
        <v>31</v>
      </c>
    </row>
    <row r="72" spans="1:15" x14ac:dyDescent="0.35">
      <c r="A72">
        <v>171</v>
      </c>
      <c r="B72" t="s">
        <v>17</v>
      </c>
      <c r="C72" t="str">
        <f>IF(WEEKDAY(Table3_1[[#This Row],[Date]])&gt;5,"weekend","weekday")</f>
        <v>weekday</v>
      </c>
      <c r="D72">
        <f>MONTH(Table3_1[[#This Row],[Date]])</f>
        <v>3</v>
      </c>
      <c r="E72" s="1">
        <v>46101</v>
      </c>
      <c r="F72" s="1" t="str">
        <f>IF(Table3_1[[#This Row],[todays date-9]]-Table3_1[[#This Row],[Date]]&gt;7,"old order","recent order")</f>
        <v>old order</v>
      </c>
      <c r="G72" t="s">
        <v>36</v>
      </c>
      <c r="H72">
        <v>9278752212</v>
      </c>
      <c r="I72" t="s">
        <v>52</v>
      </c>
      <c r="J72">
        <v>4843</v>
      </c>
      <c r="K72" t="s">
        <v>59</v>
      </c>
      <c r="L72" t="s">
        <v>14</v>
      </c>
      <c r="M72" t="s">
        <v>30</v>
      </c>
      <c r="N72" t="str">
        <f>IF(Table3_1[[#This Row],[Amount]]&gt;=4000,"large order","small order")</f>
        <v>large order</v>
      </c>
      <c r="O72" t="s">
        <v>31</v>
      </c>
    </row>
    <row r="73" spans="1:15" x14ac:dyDescent="0.35">
      <c r="A73">
        <v>172</v>
      </c>
      <c r="B73" t="s">
        <v>17</v>
      </c>
      <c r="C73" t="str">
        <f>IF(WEEKDAY(Table3_1[[#This Row],[Date]])&gt;5,"weekend","weekday")</f>
        <v>weekday</v>
      </c>
      <c r="D73">
        <f>MONTH(Table3_1[[#This Row],[Date]])</f>
        <v>3</v>
      </c>
      <c r="E73" s="1">
        <v>46101</v>
      </c>
      <c r="F73" s="1" t="str">
        <f>IF(Table3_1[[#This Row],[todays date-9]]-Table3_1[[#This Row],[Date]]&gt;7,"old order","recent order")</f>
        <v>old order</v>
      </c>
      <c r="G73" t="s">
        <v>36</v>
      </c>
      <c r="H73">
        <v>9394997205</v>
      </c>
      <c r="I73" t="s">
        <v>52</v>
      </c>
      <c r="J73">
        <v>4338</v>
      </c>
      <c r="K73" t="s">
        <v>38</v>
      </c>
      <c r="L73" t="s">
        <v>14</v>
      </c>
      <c r="M73" t="s">
        <v>34</v>
      </c>
      <c r="N73" t="str">
        <f>IF(Table3_1[[#This Row],[Amount]]&gt;=4000,"large order","small order")</f>
        <v>large order</v>
      </c>
      <c r="O73" t="s">
        <v>31</v>
      </c>
    </row>
    <row r="74" spans="1:15" x14ac:dyDescent="0.35">
      <c r="A74">
        <v>173</v>
      </c>
      <c r="B74" t="s">
        <v>43</v>
      </c>
      <c r="C74" t="str">
        <f>IF(WEEKDAY(Table3_1[[#This Row],[Date]])&gt;5,"weekend","weekday")</f>
        <v>weekday</v>
      </c>
      <c r="D74">
        <f>MONTH(Table3_1[[#This Row],[Date]])</f>
        <v>3</v>
      </c>
      <c r="E74" s="1">
        <v>46101</v>
      </c>
      <c r="F74" s="1" t="str">
        <f>IF(Table3_1[[#This Row],[todays date-9]]-Table3_1[[#This Row],[Date]]&gt;7,"old order","recent order")</f>
        <v>recent order</v>
      </c>
      <c r="G74" t="s">
        <v>56</v>
      </c>
      <c r="H74">
        <v>9085162705</v>
      </c>
      <c r="I74" t="s">
        <v>54</v>
      </c>
      <c r="J74">
        <v>1068</v>
      </c>
      <c r="K74" t="s">
        <v>59</v>
      </c>
      <c r="L74" t="s">
        <v>15</v>
      </c>
      <c r="M74" t="s">
        <v>30</v>
      </c>
      <c r="N74" t="str">
        <f>IF(Table3_1[[#This Row],[Amount]]&gt;=4000,"large order","small order")</f>
        <v>small order</v>
      </c>
      <c r="O74" t="s">
        <v>31</v>
      </c>
    </row>
    <row r="75" spans="1:15" x14ac:dyDescent="0.35">
      <c r="A75">
        <v>174</v>
      </c>
      <c r="B75" t="s">
        <v>17</v>
      </c>
      <c r="C75" t="str">
        <f>IF(WEEKDAY(Table3_1[[#This Row],[Date]])&gt;5,"weekend","weekday")</f>
        <v>weekday</v>
      </c>
      <c r="D75">
        <f>MONTH(Table3_1[[#This Row],[Date]])</f>
        <v>3</v>
      </c>
      <c r="E75" s="1">
        <v>46101</v>
      </c>
      <c r="F75" s="1" t="str">
        <f>IF(Table3_1[[#This Row],[todays date-9]]-Table3_1[[#This Row],[Date]]&gt;7,"old order","recent order")</f>
        <v>old order</v>
      </c>
      <c r="G75" t="s">
        <v>28</v>
      </c>
      <c r="H75">
        <v>928555047</v>
      </c>
      <c r="I75" t="s">
        <v>52</v>
      </c>
      <c r="J75">
        <v>3191</v>
      </c>
      <c r="K75" t="s">
        <v>33</v>
      </c>
      <c r="L75" t="s">
        <v>14</v>
      </c>
      <c r="M75" t="s">
        <v>34</v>
      </c>
      <c r="N75" t="str">
        <f>IF(Table3_1[[#This Row],[Amount]]&gt;=4000,"large order","small order")</f>
        <v>small order</v>
      </c>
      <c r="O75" t="s">
        <v>31</v>
      </c>
    </row>
    <row r="76" spans="1:15" x14ac:dyDescent="0.35">
      <c r="A76">
        <v>175</v>
      </c>
      <c r="B76" t="s">
        <v>40</v>
      </c>
      <c r="C76" t="str">
        <f>IF(WEEKDAY(Table3_1[[#This Row],[Date]])&gt;5,"weekend","weekday")</f>
        <v>weekday</v>
      </c>
      <c r="D76">
        <f>MONTH(Table3_1[[#This Row],[Date]])</f>
        <v>3</v>
      </c>
      <c r="E76" s="1">
        <v>46101</v>
      </c>
      <c r="F76" s="1" t="str">
        <f>IF(Table3_1[[#This Row],[todays date-9]]-Table3_1[[#This Row],[Date]]&gt;7,"old order","recent order")</f>
        <v>old order</v>
      </c>
      <c r="G76" t="s">
        <v>36</v>
      </c>
      <c r="H76">
        <v>997871767</v>
      </c>
      <c r="I76" t="s">
        <v>25</v>
      </c>
      <c r="J76">
        <v>4110</v>
      </c>
      <c r="K76" t="s">
        <v>49</v>
      </c>
      <c r="L76" t="s">
        <v>15</v>
      </c>
      <c r="M76" t="s">
        <v>34</v>
      </c>
      <c r="N76" t="str">
        <f>IF(Table3_1[[#This Row],[Amount]]&gt;=4000,"large order","small order")</f>
        <v>large order</v>
      </c>
      <c r="O76" t="s">
        <v>39</v>
      </c>
    </row>
    <row r="77" spans="1:15" x14ac:dyDescent="0.35">
      <c r="A77">
        <v>176</v>
      </c>
      <c r="B77" t="s">
        <v>17</v>
      </c>
      <c r="C77" t="str">
        <f>IF(WEEKDAY(Table3_1[[#This Row],[Date]])&gt;5,"weekend","weekday")</f>
        <v>weekend</v>
      </c>
      <c r="D77">
        <f>MONTH(Table3_1[[#This Row],[Date]])</f>
        <v>3</v>
      </c>
      <c r="E77" s="1">
        <v>46101</v>
      </c>
      <c r="F77" s="1" t="str">
        <f>IF(Table3_1[[#This Row],[todays date-9]]-Table3_1[[#This Row],[Date]]&gt;7,"old order","recent order")</f>
        <v>recent order</v>
      </c>
      <c r="G77" t="s">
        <v>60</v>
      </c>
      <c r="H77">
        <v>970581993</v>
      </c>
      <c r="I77" t="s">
        <v>26</v>
      </c>
      <c r="J77">
        <v>3853</v>
      </c>
      <c r="K77" t="s">
        <v>33</v>
      </c>
      <c r="L77" t="s">
        <v>14</v>
      </c>
      <c r="M77" t="s">
        <v>34</v>
      </c>
      <c r="N77" t="str">
        <f>IF(Table3_1[[#This Row],[Amount]]&gt;=4000,"large order","small order")</f>
        <v>small order</v>
      </c>
      <c r="O77" t="s">
        <v>31</v>
      </c>
    </row>
    <row r="78" spans="1:15" x14ac:dyDescent="0.35">
      <c r="A78">
        <v>177</v>
      </c>
      <c r="B78" t="s">
        <v>43</v>
      </c>
      <c r="C78" t="str">
        <f>IF(WEEKDAY(Table3_1[[#This Row],[Date]])&gt;5,"weekend","weekday")</f>
        <v>weekend</v>
      </c>
      <c r="D78">
        <f>MONTH(Table3_1[[#This Row],[Date]])</f>
        <v>3</v>
      </c>
      <c r="E78" s="1">
        <v>46101</v>
      </c>
      <c r="F78" s="1" t="str">
        <f>IF(Table3_1[[#This Row],[todays date-9]]-Table3_1[[#This Row],[Date]]&gt;7,"old order","recent order")</f>
        <v>old order</v>
      </c>
      <c r="G78" t="s">
        <v>32</v>
      </c>
      <c r="H78">
        <v>9219428529</v>
      </c>
      <c r="I78" t="s">
        <v>12</v>
      </c>
      <c r="J78">
        <v>2190</v>
      </c>
      <c r="K78" t="s">
        <v>49</v>
      </c>
      <c r="L78" t="s">
        <v>14</v>
      </c>
      <c r="M78" t="s">
        <v>34</v>
      </c>
      <c r="N78" t="str">
        <f>IF(Table3_1[[#This Row],[Amount]]&gt;=4000,"large order","small order")</f>
        <v>small order</v>
      </c>
      <c r="O78" t="s">
        <v>31</v>
      </c>
    </row>
    <row r="79" spans="1:15" x14ac:dyDescent="0.35">
      <c r="A79">
        <v>178</v>
      </c>
      <c r="B79" t="s">
        <v>27</v>
      </c>
      <c r="C79" t="str">
        <f>IF(WEEKDAY(Table3_1[[#This Row],[Date]])&gt;5,"weekend","weekday")</f>
        <v>weekday</v>
      </c>
      <c r="D79">
        <f>MONTH(Table3_1[[#This Row],[Date]])</f>
        <v>3</v>
      </c>
      <c r="E79" s="1">
        <v>46101</v>
      </c>
      <c r="F79" s="1" t="str">
        <f>IF(Table3_1[[#This Row],[todays date-9]]-Table3_1[[#This Row],[Date]]&gt;7,"old order","recent order")</f>
        <v>recent order</v>
      </c>
      <c r="G79" t="s">
        <v>56</v>
      </c>
      <c r="H79">
        <v>9013776718</v>
      </c>
      <c r="I79" t="s">
        <v>48</v>
      </c>
      <c r="J79">
        <v>2099</v>
      </c>
      <c r="K79" t="s">
        <v>63</v>
      </c>
      <c r="L79" t="s">
        <v>14</v>
      </c>
      <c r="M79" t="s">
        <v>34</v>
      </c>
      <c r="N79" t="str">
        <f>IF(Table3_1[[#This Row],[Amount]]&gt;=4000,"large order","small order")</f>
        <v>small order</v>
      </c>
      <c r="O79" t="s">
        <v>31</v>
      </c>
    </row>
    <row r="80" spans="1:15" x14ac:dyDescent="0.35">
      <c r="A80">
        <v>179</v>
      </c>
      <c r="B80" t="s">
        <v>61</v>
      </c>
      <c r="C80" t="str">
        <f>IF(WEEKDAY(Table3_1[[#This Row],[Date]])&gt;5,"weekend","weekday")</f>
        <v>weekday</v>
      </c>
      <c r="D80">
        <f>MONTH(Table3_1[[#This Row],[Date]])</f>
        <v>3</v>
      </c>
      <c r="E80" s="1">
        <v>46101</v>
      </c>
      <c r="F80" s="1" t="str">
        <f>IF(Table3_1[[#This Row],[todays date-9]]-Table3_1[[#This Row],[Date]]&gt;7,"old order","recent order")</f>
        <v>old order</v>
      </c>
      <c r="G80" t="s">
        <v>28</v>
      </c>
      <c r="H80">
        <v>903189690</v>
      </c>
      <c r="I80" t="s">
        <v>62</v>
      </c>
      <c r="J80">
        <v>2129</v>
      </c>
      <c r="K80" t="s">
        <v>47</v>
      </c>
      <c r="L80" t="s">
        <v>14</v>
      </c>
      <c r="M80" t="s">
        <v>34</v>
      </c>
      <c r="N80" t="str">
        <f>IF(Table3_1[[#This Row],[Amount]]&gt;=4000,"large order","small order")</f>
        <v>small order</v>
      </c>
      <c r="O80" t="s">
        <v>31</v>
      </c>
    </row>
    <row r="81" spans="1:15" x14ac:dyDescent="0.35">
      <c r="A81">
        <v>180</v>
      </c>
      <c r="B81" t="s">
        <v>20</v>
      </c>
      <c r="C81" t="str">
        <f>IF(WEEKDAY(Table3_1[[#This Row],[Date]])&gt;5,"weekend","weekday")</f>
        <v>weekday</v>
      </c>
      <c r="D81">
        <f>MONTH(Table3_1[[#This Row],[Date]])</f>
        <v>3</v>
      </c>
      <c r="E81" s="1">
        <v>46101</v>
      </c>
      <c r="F81" s="1" t="str">
        <f>IF(Table3_1[[#This Row],[todays date-9]]-Table3_1[[#This Row],[Date]]&gt;7,"old order","recent order")</f>
        <v>recent order</v>
      </c>
      <c r="G81" t="s">
        <v>64</v>
      </c>
      <c r="H81">
        <v>9127419556</v>
      </c>
      <c r="I81" t="s">
        <v>65</v>
      </c>
      <c r="J81">
        <v>1650</v>
      </c>
      <c r="K81" t="s">
        <v>18</v>
      </c>
      <c r="L81" t="s">
        <v>15</v>
      </c>
      <c r="M81" t="s">
        <v>30</v>
      </c>
      <c r="N81" t="str">
        <f>IF(Table3_1[[#This Row],[Amount]]&gt;=4000,"large order","small order")</f>
        <v>small order</v>
      </c>
      <c r="O81" t="s">
        <v>39</v>
      </c>
    </row>
    <row r="82" spans="1:15" x14ac:dyDescent="0.35">
      <c r="A82">
        <v>181</v>
      </c>
      <c r="B82" t="s">
        <v>17</v>
      </c>
      <c r="C82" t="str">
        <f>IF(WEEKDAY(Table3_1[[#This Row],[Date]])&gt;5,"weekend","weekday")</f>
        <v>weekday</v>
      </c>
      <c r="D82">
        <f>MONTH(Table3_1[[#This Row],[Date]])</f>
        <v>3</v>
      </c>
      <c r="E82" s="1">
        <v>46101</v>
      </c>
      <c r="F82" s="1" t="str">
        <f>IF(Table3_1[[#This Row],[todays date-9]]-Table3_1[[#This Row],[Date]]&gt;7,"old order","recent order")</f>
        <v>old order</v>
      </c>
      <c r="G82" t="s">
        <v>28</v>
      </c>
      <c r="H82">
        <v>9296213171</v>
      </c>
      <c r="I82" t="s">
        <v>52</v>
      </c>
      <c r="J82">
        <v>5634</v>
      </c>
      <c r="K82" t="s">
        <v>49</v>
      </c>
      <c r="L82" t="s">
        <v>14</v>
      </c>
      <c r="M82" t="s">
        <v>30</v>
      </c>
      <c r="N82" t="str">
        <f>IF(Table3_1[[#This Row],[Amount]]&gt;=4000,"large order","small order")</f>
        <v>large order</v>
      </c>
      <c r="O82" t="s">
        <v>39</v>
      </c>
    </row>
    <row r="83" spans="1:15" x14ac:dyDescent="0.35">
      <c r="A83">
        <v>182</v>
      </c>
      <c r="B83" t="s">
        <v>40</v>
      </c>
      <c r="C83" t="str">
        <f>IF(WEEKDAY(Table3_1[[#This Row],[Date]])&gt;5,"weekend","weekday")</f>
        <v>weekday</v>
      </c>
      <c r="D83">
        <f>MONTH(Table3_1[[#This Row],[Date]])</f>
        <v>3</v>
      </c>
      <c r="E83" s="1">
        <v>46101</v>
      </c>
      <c r="F83" s="1" t="str">
        <f>IF(Table3_1[[#This Row],[todays date-9]]-Table3_1[[#This Row],[Date]]&gt;7,"old order","recent order")</f>
        <v>recent order</v>
      </c>
      <c r="G83" t="s">
        <v>56</v>
      </c>
      <c r="H83">
        <v>9343320973</v>
      </c>
      <c r="I83" t="s">
        <v>25</v>
      </c>
      <c r="J83">
        <v>1863</v>
      </c>
      <c r="K83" t="s">
        <v>53</v>
      </c>
      <c r="L83" t="s">
        <v>15</v>
      </c>
      <c r="M83" t="s">
        <v>34</v>
      </c>
      <c r="N83" t="str">
        <f>IF(Table3_1[[#This Row],[Amount]]&gt;=4000,"large order","small order")</f>
        <v>small order</v>
      </c>
      <c r="O83" t="s">
        <v>31</v>
      </c>
    </row>
    <row r="84" spans="1:15" x14ac:dyDescent="0.35">
      <c r="A84">
        <v>183</v>
      </c>
      <c r="B84" t="s">
        <v>55</v>
      </c>
      <c r="C84" t="str">
        <f>IF(WEEKDAY(Table3_1[[#This Row],[Date]])&gt;5,"weekend","weekday")</f>
        <v>weekend</v>
      </c>
      <c r="D84">
        <f>MONTH(Table3_1[[#This Row],[Date]])</f>
        <v>3</v>
      </c>
      <c r="E84" s="1">
        <v>46101</v>
      </c>
      <c r="F84" s="1" t="str">
        <f>IF(Table3_1[[#This Row],[todays date-9]]-Table3_1[[#This Row],[Date]]&gt;7,"old order","recent order")</f>
        <v>old order</v>
      </c>
      <c r="G84" t="s">
        <v>32</v>
      </c>
      <c r="H84">
        <v>9096913093</v>
      </c>
      <c r="I84" t="s">
        <v>23</v>
      </c>
      <c r="J84">
        <v>3216</v>
      </c>
      <c r="K84" t="s">
        <v>59</v>
      </c>
      <c r="L84" t="s">
        <v>14</v>
      </c>
      <c r="M84" t="s">
        <v>30</v>
      </c>
      <c r="N84" t="str">
        <f>IF(Table3_1[[#This Row],[Amount]]&gt;=4000,"large order","small order")</f>
        <v>small order</v>
      </c>
      <c r="O84" t="s">
        <v>39</v>
      </c>
    </row>
    <row r="85" spans="1:15" x14ac:dyDescent="0.35">
      <c r="A85">
        <v>184</v>
      </c>
      <c r="B85" t="s">
        <v>55</v>
      </c>
      <c r="C85" t="str">
        <f>IF(WEEKDAY(Table3_1[[#This Row],[Date]])&gt;5,"weekend","weekday")</f>
        <v>weekday</v>
      </c>
      <c r="D85">
        <f>MONTH(Table3_1[[#This Row],[Date]])</f>
        <v>3</v>
      </c>
      <c r="E85" s="1">
        <v>46101</v>
      </c>
      <c r="F85" s="1" t="str">
        <f>IF(Table3_1[[#This Row],[todays date-9]]-Table3_1[[#This Row],[Date]]&gt;7,"old order","recent order")</f>
        <v>recent order</v>
      </c>
      <c r="G85" t="s">
        <v>56</v>
      </c>
      <c r="H85">
        <v>9373790314</v>
      </c>
      <c r="I85" t="s">
        <v>23</v>
      </c>
      <c r="J85">
        <v>3960</v>
      </c>
      <c r="K85" t="s">
        <v>53</v>
      </c>
      <c r="L85" t="s">
        <v>14</v>
      </c>
      <c r="M85" t="s">
        <v>34</v>
      </c>
      <c r="N85" t="str">
        <f>IF(Table3_1[[#This Row],[Amount]]&gt;=4000,"large order","small order")</f>
        <v>small order</v>
      </c>
      <c r="O85" t="s">
        <v>39</v>
      </c>
    </row>
    <row r="86" spans="1:15" x14ac:dyDescent="0.35">
      <c r="A86">
        <v>185</v>
      </c>
      <c r="B86" t="s">
        <v>35</v>
      </c>
      <c r="C86" t="str">
        <f>IF(WEEKDAY(Table3_1[[#This Row],[Date]])&gt;5,"weekend","weekday")</f>
        <v>weekend</v>
      </c>
      <c r="D86">
        <f>MONTH(Table3_1[[#This Row],[Date]])</f>
        <v>3</v>
      </c>
      <c r="E86" s="1">
        <v>46101</v>
      </c>
      <c r="F86" s="1" t="str">
        <f>IF(Table3_1[[#This Row],[todays date-9]]-Table3_1[[#This Row],[Date]]&gt;7,"old order","recent order")</f>
        <v>recent order</v>
      </c>
      <c r="G86" t="s">
        <v>44</v>
      </c>
      <c r="H86">
        <v>918824249</v>
      </c>
      <c r="I86" t="s">
        <v>37</v>
      </c>
      <c r="J86">
        <v>1939</v>
      </c>
      <c r="K86" t="s">
        <v>63</v>
      </c>
      <c r="L86" t="s">
        <v>14</v>
      </c>
      <c r="M86" t="s">
        <v>34</v>
      </c>
      <c r="N86" t="str">
        <f>IF(Table3_1[[#This Row],[Amount]]&gt;=4000,"large order","small order")</f>
        <v>small order</v>
      </c>
      <c r="O86" t="s">
        <v>31</v>
      </c>
    </row>
    <row r="87" spans="1:15" x14ac:dyDescent="0.35">
      <c r="A87">
        <v>186</v>
      </c>
      <c r="B87" t="s">
        <v>10</v>
      </c>
      <c r="C87" t="str">
        <f>IF(WEEKDAY(Table3_1[[#This Row],[Date]])&gt;5,"weekend","weekday")</f>
        <v>weekend</v>
      </c>
      <c r="D87">
        <f>MONTH(Table3_1[[#This Row],[Date]])</f>
        <v>3</v>
      </c>
      <c r="E87" s="1">
        <v>46101</v>
      </c>
      <c r="F87" s="1" t="str">
        <f>IF(Table3_1[[#This Row],[todays date-9]]-Table3_1[[#This Row],[Date]]&gt;7,"old order","recent order")</f>
        <v>old order</v>
      </c>
      <c r="G87" t="s">
        <v>32</v>
      </c>
      <c r="H87">
        <v>9561515</v>
      </c>
      <c r="I87" t="s">
        <v>46</v>
      </c>
      <c r="J87">
        <v>3370</v>
      </c>
      <c r="K87" t="s">
        <v>38</v>
      </c>
      <c r="L87" t="s">
        <v>15</v>
      </c>
      <c r="M87" t="s">
        <v>34</v>
      </c>
      <c r="N87" t="str">
        <f>IF(Table3_1[[#This Row],[Amount]]&gt;=4000,"large order","small order")</f>
        <v>small order</v>
      </c>
      <c r="O87" t="s">
        <v>31</v>
      </c>
    </row>
    <row r="88" spans="1:15" x14ac:dyDescent="0.35">
      <c r="A88">
        <v>187</v>
      </c>
      <c r="B88" t="s">
        <v>40</v>
      </c>
      <c r="C88" t="str">
        <f>IF(WEEKDAY(Table3_1[[#This Row],[Date]])&gt;5,"weekend","weekday")</f>
        <v>weekend</v>
      </c>
      <c r="D88">
        <f>MONTH(Table3_1[[#This Row],[Date]])</f>
        <v>3</v>
      </c>
      <c r="E88" s="1">
        <v>46101</v>
      </c>
      <c r="F88" s="1" t="str">
        <f>IF(Table3_1[[#This Row],[todays date-9]]-Table3_1[[#This Row],[Date]]&gt;7,"old order","recent order")</f>
        <v>recent order</v>
      </c>
      <c r="G88" t="s">
        <v>44</v>
      </c>
      <c r="H88">
        <v>9801579006</v>
      </c>
      <c r="I88" t="s">
        <v>25</v>
      </c>
      <c r="J88">
        <v>4399</v>
      </c>
      <c r="K88" t="s">
        <v>47</v>
      </c>
      <c r="L88" t="s">
        <v>14</v>
      </c>
      <c r="M88" t="s">
        <v>34</v>
      </c>
      <c r="N88" t="str">
        <f>IF(Table3_1[[#This Row],[Amount]]&gt;=4000,"large order","small order")</f>
        <v>large order</v>
      </c>
      <c r="O88" t="s">
        <v>31</v>
      </c>
    </row>
    <row r="89" spans="1:15" x14ac:dyDescent="0.35">
      <c r="A89">
        <v>188</v>
      </c>
      <c r="B89" t="s">
        <v>27</v>
      </c>
      <c r="C89" t="str">
        <f>IF(WEEKDAY(Table3_1[[#This Row],[Date]])&gt;5,"weekend","weekday")</f>
        <v>weekday</v>
      </c>
      <c r="D89">
        <f>MONTH(Table3_1[[#This Row],[Date]])</f>
        <v>3</v>
      </c>
      <c r="E89" s="1">
        <v>46101</v>
      </c>
      <c r="F89" s="1" t="str">
        <f>IF(Table3_1[[#This Row],[todays date-9]]-Table3_1[[#This Row],[Date]]&gt;7,"old order","recent order")</f>
        <v>old order</v>
      </c>
      <c r="G89" t="s">
        <v>28</v>
      </c>
      <c r="H89">
        <v>9453963843</v>
      </c>
      <c r="I89" t="s">
        <v>24</v>
      </c>
      <c r="J89">
        <v>4600</v>
      </c>
      <c r="K89" t="s">
        <v>33</v>
      </c>
      <c r="L89" t="s">
        <v>15</v>
      </c>
      <c r="M89" t="s">
        <v>34</v>
      </c>
      <c r="N89" t="str">
        <f>IF(Table3_1[[#This Row],[Amount]]&gt;=4000,"large order","small order")</f>
        <v>large order</v>
      </c>
      <c r="O89" t="s">
        <v>39</v>
      </c>
    </row>
    <row r="90" spans="1:15" x14ac:dyDescent="0.35">
      <c r="A90">
        <v>189</v>
      </c>
      <c r="B90" t="s">
        <v>17</v>
      </c>
      <c r="C90" t="str">
        <f>IF(WEEKDAY(Table3_1[[#This Row],[Date]])&gt;5,"weekend","weekday")</f>
        <v>weekday</v>
      </c>
      <c r="D90">
        <f>MONTH(Table3_1[[#This Row],[Date]])</f>
        <v>3</v>
      </c>
      <c r="E90" s="1">
        <v>46101</v>
      </c>
      <c r="F90" s="1" t="str">
        <f>IF(Table3_1[[#This Row],[todays date-9]]-Table3_1[[#This Row],[Date]]&gt;7,"old order","recent order")</f>
        <v>recent order</v>
      </c>
      <c r="G90" t="s">
        <v>64</v>
      </c>
      <c r="H90">
        <v>929086689</v>
      </c>
      <c r="I90" t="s">
        <v>26</v>
      </c>
      <c r="J90">
        <v>3724</v>
      </c>
      <c r="K90" t="s">
        <v>18</v>
      </c>
      <c r="L90" t="s">
        <v>14</v>
      </c>
      <c r="M90" t="s">
        <v>30</v>
      </c>
      <c r="N90" t="str">
        <f>IF(Table3_1[[#This Row],[Amount]]&gt;=4000,"large order","small order")</f>
        <v>small order</v>
      </c>
      <c r="O90" t="s">
        <v>31</v>
      </c>
    </row>
    <row r="91" spans="1:15" x14ac:dyDescent="0.35">
      <c r="A91">
        <v>190</v>
      </c>
      <c r="B91" t="s">
        <v>40</v>
      </c>
      <c r="C91" t="str">
        <f>IF(WEEKDAY(Table3_1[[#This Row],[Date]])&gt;5,"weekend","weekday")</f>
        <v>weekday</v>
      </c>
      <c r="D91">
        <f>MONTH(Table3_1[[#This Row],[Date]])</f>
        <v>3</v>
      </c>
      <c r="E91" s="1">
        <v>46101</v>
      </c>
      <c r="F91" s="1" t="str">
        <f>IF(Table3_1[[#This Row],[todays date-9]]-Table3_1[[#This Row],[Date]]&gt;7,"old order","recent order")</f>
        <v>recent order</v>
      </c>
      <c r="G91" t="s">
        <v>56</v>
      </c>
      <c r="H91">
        <v>9494960671</v>
      </c>
      <c r="I91" t="s">
        <v>25</v>
      </c>
      <c r="J91">
        <v>4964</v>
      </c>
      <c r="K91" t="s">
        <v>18</v>
      </c>
      <c r="L91" t="s">
        <v>15</v>
      </c>
      <c r="M91" t="s">
        <v>34</v>
      </c>
      <c r="N91" t="str">
        <f>IF(Table3_1[[#This Row],[Amount]]&gt;=4000,"large order","small order")</f>
        <v>large order</v>
      </c>
      <c r="O91" t="s">
        <v>39</v>
      </c>
    </row>
    <row r="92" spans="1:15" x14ac:dyDescent="0.35">
      <c r="A92">
        <v>191</v>
      </c>
      <c r="B92" t="s">
        <v>35</v>
      </c>
      <c r="C92" t="str">
        <f>IF(WEEKDAY(Table3_1[[#This Row],[Date]])&gt;5,"weekend","weekday")</f>
        <v>weekday</v>
      </c>
      <c r="D92">
        <f>MONTH(Table3_1[[#This Row],[Date]])</f>
        <v>3</v>
      </c>
      <c r="E92" s="1">
        <v>46101</v>
      </c>
      <c r="F92" s="1" t="str">
        <f>IF(Table3_1[[#This Row],[todays date-9]]-Table3_1[[#This Row],[Date]]&gt;7,"old order","recent order")</f>
        <v>old order</v>
      </c>
      <c r="G92" t="s">
        <v>51</v>
      </c>
      <c r="H92">
        <v>9194067</v>
      </c>
      <c r="I92" t="s">
        <v>50</v>
      </c>
      <c r="J92">
        <v>1860</v>
      </c>
      <c r="K92" t="s">
        <v>18</v>
      </c>
      <c r="L92" t="s">
        <v>15</v>
      </c>
      <c r="M92" t="s">
        <v>42</v>
      </c>
      <c r="N92" t="str">
        <f>IF(Table3_1[[#This Row],[Amount]]&gt;=4000,"large order","small order")</f>
        <v>small order</v>
      </c>
      <c r="O92" t="s">
        <v>31</v>
      </c>
    </row>
    <row r="93" spans="1:15" x14ac:dyDescent="0.35">
      <c r="A93">
        <v>192</v>
      </c>
      <c r="B93" t="s">
        <v>27</v>
      </c>
      <c r="C93" t="str">
        <f>IF(WEEKDAY(Table3_1[[#This Row],[Date]])&gt;5,"weekend","weekday")</f>
        <v>weekday</v>
      </c>
      <c r="D93">
        <f>MONTH(Table3_1[[#This Row],[Date]])</f>
        <v>3</v>
      </c>
      <c r="E93" s="1">
        <v>46101</v>
      </c>
      <c r="F93" s="1" t="str">
        <f>IF(Table3_1[[#This Row],[todays date-9]]-Table3_1[[#This Row],[Date]]&gt;7,"old order","recent order")</f>
        <v>recent order</v>
      </c>
      <c r="G93" t="s">
        <v>64</v>
      </c>
      <c r="H93">
        <v>9168078316</v>
      </c>
      <c r="I93" t="s">
        <v>24</v>
      </c>
      <c r="J93">
        <v>4297</v>
      </c>
      <c r="K93" t="s">
        <v>45</v>
      </c>
      <c r="L93" t="s">
        <v>14</v>
      </c>
      <c r="M93" t="s">
        <v>42</v>
      </c>
      <c r="N93" t="str">
        <f>IF(Table3_1[[#This Row],[Amount]]&gt;=4000,"large order","small order")</f>
        <v>large order</v>
      </c>
      <c r="O93" t="s">
        <v>31</v>
      </c>
    </row>
    <row r="94" spans="1:15" x14ac:dyDescent="0.35">
      <c r="A94">
        <v>193</v>
      </c>
      <c r="B94" t="s">
        <v>17</v>
      </c>
      <c r="C94" t="str">
        <f>IF(WEEKDAY(Table3_1[[#This Row],[Date]])&gt;5,"weekend","weekday")</f>
        <v>weekday</v>
      </c>
      <c r="D94">
        <f>MONTH(Table3_1[[#This Row],[Date]])</f>
        <v>3</v>
      </c>
      <c r="E94" s="1">
        <v>46101</v>
      </c>
      <c r="F94" s="1" t="str">
        <f>IF(Table3_1[[#This Row],[todays date-9]]-Table3_1[[#This Row],[Date]]&gt;7,"old order","recent order")</f>
        <v>old order</v>
      </c>
      <c r="G94" t="s">
        <v>28</v>
      </c>
      <c r="H94">
        <v>9941979625</v>
      </c>
      <c r="I94" t="s">
        <v>26</v>
      </c>
      <c r="J94">
        <v>3333</v>
      </c>
      <c r="K94" t="s">
        <v>33</v>
      </c>
      <c r="L94" t="s">
        <v>15</v>
      </c>
      <c r="M94" t="s">
        <v>42</v>
      </c>
      <c r="N94" t="str">
        <f>IF(Table3_1[[#This Row],[Amount]]&gt;=4000,"large order","small order")</f>
        <v>small order</v>
      </c>
      <c r="O94" t="s">
        <v>31</v>
      </c>
    </row>
    <row r="95" spans="1:15" x14ac:dyDescent="0.35">
      <c r="A95">
        <v>194</v>
      </c>
      <c r="B95" t="s">
        <v>10</v>
      </c>
      <c r="C95" t="str">
        <f>IF(WEEKDAY(Table3_1[[#This Row],[Date]])&gt;5,"weekend","weekday")</f>
        <v>weekday</v>
      </c>
      <c r="D95">
        <f>MONTH(Table3_1[[#This Row],[Date]])</f>
        <v>3</v>
      </c>
      <c r="E95" s="1">
        <v>46101</v>
      </c>
      <c r="F95" s="1" t="str">
        <f>IF(Table3_1[[#This Row],[todays date-9]]-Table3_1[[#This Row],[Date]]&gt;7,"old order","recent order")</f>
        <v>old order</v>
      </c>
      <c r="G95" t="s">
        <v>28</v>
      </c>
      <c r="H95">
        <v>9210958992</v>
      </c>
      <c r="I95" t="s">
        <v>46</v>
      </c>
      <c r="J95">
        <v>2933</v>
      </c>
      <c r="K95" t="s">
        <v>63</v>
      </c>
      <c r="L95" t="s">
        <v>15</v>
      </c>
      <c r="M95" t="s">
        <v>30</v>
      </c>
      <c r="N95" t="str">
        <f>IF(Table3_1[[#This Row],[Amount]]&gt;=4000,"large order","small order")</f>
        <v>small order</v>
      </c>
      <c r="O95" t="s">
        <v>31</v>
      </c>
    </row>
    <row r="96" spans="1:15" x14ac:dyDescent="0.35">
      <c r="A96">
        <v>195</v>
      </c>
      <c r="B96" t="s">
        <v>61</v>
      </c>
      <c r="C96" t="str">
        <f>IF(WEEKDAY(Table3_1[[#This Row],[Date]])&gt;5,"weekend","weekday")</f>
        <v>weekday</v>
      </c>
      <c r="D96">
        <f>MONTH(Table3_1[[#This Row],[Date]])</f>
        <v>3</v>
      </c>
      <c r="E96" s="1">
        <v>46101</v>
      </c>
      <c r="F96" s="1" t="str">
        <f>IF(Table3_1[[#This Row],[todays date-9]]-Table3_1[[#This Row],[Date]]&gt;7,"old order","recent order")</f>
        <v>recent order</v>
      </c>
      <c r="G96" t="s">
        <v>64</v>
      </c>
      <c r="H96">
        <v>9066163301</v>
      </c>
      <c r="I96" t="s">
        <v>62</v>
      </c>
      <c r="J96">
        <v>4870</v>
      </c>
      <c r="K96" t="s">
        <v>45</v>
      </c>
      <c r="L96" t="s">
        <v>14</v>
      </c>
      <c r="M96" t="s">
        <v>34</v>
      </c>
      <c r="N96" t="str">
        <f>IF(Table3_1[[#This Row],[Amount]]&gt;=4000,"large order","small order")</f>
        <v>large order</v>
      </c>
      <c r="O96" t="s">
        <v>31</v>
      </c>
    </row>
    <row r="97" spans="1:15" x14ac:dyDescent="0.35">
      <c r="A97">
        <v>196</v>
      </c>
      <c r="B97" t="s">
        <v>20</v>
      </c>
      <c r="C97" t="str">
        <f>IF(WEEKDAY(Table3_1[[#This Row],[Date]])&gt;5,"weekend","weekday")</f>
        <v>weekend</v>
      </c>
      <c r="D97">
        <f>MONTH(Table3_1[[#This Row],[Date]])</f>
        <v>3</v>
      </c>
      <c r="E97" s="1">
        <v>46101</v>
      </c>
      <c r="F97" s="1" t="str">
        <f>IF(Table3_1[[#This Row],[todays date-9]]-Table3_1[[#This Row],[Date]]&gt;7,"old order","recent order")</f>
        <v>recent order</v>
      </c>
      <c r="G97" t="s">
        <v>60</v>
      </c>
      <c r="H97">
        <v>982522784</v>
      </c>
      <c r="I97" t="s">
        <v>21</v>
      </c>
      <c r="J97">
        <v>3051</v>
      </c>
      <c r="K97" t="s">
        <v>49</v>
      </c>
      <c r="L97" t="s">
        <v>14</v>
      </c>
      <c r="M97" t="s">
        <v>34</v>
      </c>
      <c r="N97" t="str">
        <f>IF(Table3_1[[#This Row],[Amount]]&gt;=4000,"large order","small order")</f>
        <v>small order</v>
      </c>
      <c r="O97" t="s">
        <v>31</v>
      </c>
    </row>
    <row r="98" spans="1:15" x14ac:dyDescent="0.35">
      <c r="A98">
        <v>197</v>
      </c>
      <c r="B98" t="s">
        <v>58</v>
      </c>
      <c r="C98" t="str">
        <f>IF(WEEKDAY(Table3_1[[#This Row],[Date]])&gt;5,"weekend","weekday")</f>
        <v>weekend</v>
      </c>
      <c r="D98">
        <f>MONTH(Table3_1[[#This Row],[Date]])</f>
        <v>3</v>
      </c>
      <c r="E98" s="1">
        <v>46101</v>
      </c>
      <c r="F98" s="1" t="str">
        <f>IF(Table3_1[[#This Row],[todays date-9]]-Table3_1[[#This Row],[Date]]&gt;7,"old order","recent order")</f>
        <v>recent order</v>
      </c>
      <c r="G98" t="s">
        <v>44</v>
      </c>
      <c r="H98">
        <v>998012810</v>
      </c>
      <c r="I98" t="s">
        <v>66</v>
      </c>
      <c r="J98">
        <v>1018</v>
      </c>
      <c r="K98" t="s">
        <v>47</v>
      </c>
      <c r="L98" t="s">
        <v>14</v>
      </c>
      <c r="M98" t="s">
        <v>30</v>
      </c>
      <c r="N98" t="str">
        <f>IF(Table3_1[[#This Row],[Amount]]&gt;=4000,"large order","small order")</f>
        <v>small order</v>
      </c>
      <c r="O98" t="s">
        <v>39</v>
      </c>
    </row>
    <row r="99" spans="1:15" x14ac:dyDescent="0.35">
      <c r="A99">
        <v>198</v>
      </c>
      <c r="B99" t="s">
        <v>61</v>
      </c>
      <c r="C99" t="str">
        <f>IF(WEEKDAY(Table3_1[[#This Row],[Date]])&gt;5,"weekend","weekday")</f>
        <v>weekday</v>
      </c>
      <c r="D99">
        <f>MONTH(Table3_1[[#This Row],[Date]])</f>
        <v>3</v>
      </c>
      <c r="E99" s="1">
        <v>46101</v>
      </c>
      <c r="F99" s="1" t="str">
        <f>IF(Table3_1[[#This Row],[todays date-9]]-Table3_1[[#This Row],[Date]]&gt;7,"old order","recent order")</f>
        <v>recent order</v>
      </c>
      <c r="G99" t="s">
        <v>56</v>
      </c>
      <c r="H99">
        <v>9491692372</v>
      </c>
      <c r="I99" t="s">
        <v>22</v>
      </c>
      <c r="J99">
        <v>4753</v>
      </c>
      <c r="K99" t="s">
        <v>53</v>
      </c>
      <c r="L99" t="s">
        <v>15</v>
      </c>
      <c r="M99" t="s">
        <v>34</v>
      </c>
      <c r="N99" t="str">
        <f>IF(Table3_1[[#This Row],[Amount]]&gt;=4000,"large order","small order")</f>
        <v>large order</v>
      </c>
      <c r="O99" t="s">
        <v>31</v>
      </c>
    </row>
    <row r="100" spans="1:15" x14ac:dyDescent="0.35">
      <c r="A100">
        <v>199</v>
      </c>
      <c r="B100" t="s">
        <v>17</v>
      </c>
      <c r="C100" t="str">
        <f>IF(WEEKDAY(Table3_1[[#This Row],[Date]])&gt;5,"weekend","weekday")</f>
        <v>weekday</v>
      </c>
      <c r="D100">
        <f>MONTH(Table3_1[[#This Row],[Date]])</f>
        <v>3</v>
      </c>
      <c r="E100" s="1">
        <v>46101</v>
      </c>
      <c r="F100" s="1" t="str">
        <f>IF(Table3_1[[#This Row],[todays date-9]]-Table3_1[[#This Row],[Date]]&gt;7,"old order","recent order")</f>
        <v>old order</v>
      </c>
      <c r="G100" t="s">
        <v>36</v>
      </c>
      <c r="H100">
        <v>9796360</v>
      </c>
      <c r="I100" t="s">
        <v>52</v>
      </c>
      <c r="J100">
        <v>5339</v>
      </c>
      <c r="K100" t="s">
        <v>59</v>
      </c>
      <c r="L100" t="s">
        <v>14</v>
      </c>
      <c r="M100" t="s">
        <v>34</v>
      </c>
      <c r="N100" t="str">
        <f>IF(Table3_1[[#This Row],[Amount]]&gt;=4000,"large order","small order")</f>
        <v>large order</v>
      </c>
      <c r="O100" t="s">
        <v>31</v>
      </c>
    </row>
    <row r="101" spans="1:15" x14ac:dyDescent="0.35">
      <c r="A101">
        <v>200</v>
      </c>
      <c r="B101" t="s">
        <v>20</v>
      </c>
      <c r="C101" t="str">
        <f>IF(WEEKDAY(Table3_1[[#This Row],[Date]])&gt;5,"weekend","weekday")</f>
        <v>weekday</v>
      </c>
      <c r="D101">
        <f>MONTH(Table3_1[[#This Row],[Date]])</f>
        <v>3</v>
      </c>
      <c r="E101" s="1">
        <v>46101</v>
      </c>
      <c r="F101" s="1" t="str">
        <f>IF(Table3_1[[#This Row],[todays date-9]]-Table3_1[[#This Row],[Date]]&gt;7,"old order","recent order")</f>
        <v>old order</v>
      </c>
      <c r="G101" t="s">
        <v>11</v>
      </c>
      <c r="H101">
        <v>9547591253</v>
      </c>
      <c r="I101" t="s">
        <v>65</v>
      </c>
      <c r="J101">
        <v>1252</v>
      </c>
      <c r="K101" t="s">
        <v>53</v>
      </c>
      <c r="L101" t="s">
        <v>14</v>
      </c>
      <c r="M101" t="s">
        <v>42</v>
      </c>
      <c r="N101" t="str">
        <f>IF(Table3_1[[#This Row],[Amount]]&gt;=4000,"large order","small order")</f>
        <v>small order</v>
      </c>
      <c r="O101" t="s">
        <v>39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zoomScale="110" zoomScaleNormal="110" workbookViewId="0">
      <selection activeCell="E15" sqref="E15"/>
    </sheetView>
  </sheetViews>
  <sheetFormatPr defaultRowHeight="14.5" x14ac:dyDescent="0.35"/>
  <cols>
    <col min="2" max="2" width="14.81640625" customWidth="1"/>
    <col min="3" max="3" width="14.08984375" customWidth="1"/>
    <col min="4" max="4" width="14.453125" customWidth="1"/>
    <col min="5" max="5" width="19.08984375" customWidth="1"/>
    <col min="6" max="6" width="9.54296875" customWidth="1"/>
    <col min="8" max="8" width="9" customWidth="1"/>
    <col min="9" max="9" width="9.26953125" customWidth="1"/>
    <col min="10" max="10" width="10.1796875" customWidth="1"/>
  </cols>
  <sheetData>
    <row r="1" spans="1:1" x14ac:dyDescent="0.35">
      <c r="A1" t="s">
        <v>67</v>
      </c>
    </row>
    <row r="2" spans="1:1" x14ac:dyDescent="0.35">
      <c r="A2" t="s">
        <v>68</v>
      </c>
    </row>
    <row r="3" spans="1:1" x14ac:dyDescent="0.35">
      <c r="A3" t="s">
        <v>69</v>
      </c>
    </row>
    <row r="4" spans="1:1" x14ac:dyDescent="0.35">
      <c r="A4" t="s">
        <v>70</v>
      </c>
    </row>
    <row r="5" spans="1:1" x14ac:dyDescent="0.35">
      <c r="A5" t="s">
        <v>71</v>
      </c>
    </row>
    <row r="6" spans="1:1" x14ac:dyDescent="0.35">
      <c r="A6" t="s">
        <v>72</v>
      </c>
    </row>
    <row r="7" spans="1:1" x14ac:dyDescent="0.35">
      <c r="A7" t="s">
        <v>73</v>
      </c>
    </row>
    <row r="8" spans="1:1" x14ac:dyDescent="0.35">
      <c r="A8" t="s">
        <v>74</v>
      </c>
    </row>
    <row r="9" spans="1:1" x14ac:dyDescent="0.35">
      <c r="A9" t="s">
        <v>75</v>
      </c>
    </row>
    <row r="10" spans="1:1" x14ac:dyDescent="0.35">
      <c r="A10" t="s">
        <v>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41D5FF-B059-4C2D-AFCE-44E3BFA68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Table3_1</vt:lpstr>
      <vt:lpstr>Table3</vt:lpstr>
      <vt:lpstr>MessyData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2026-04-01T15:05:26Z</dcterms:created>
  <dcterms:modified xsi:type="dcterms:W3CDTF">2026-07-17T05:25:20Z</dcterms:modified>
</cp:coreProperties>
</file>