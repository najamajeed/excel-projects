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3.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4.xml" ContentType="application/vnd.openxmlformats-officedocument.drawingml.chartshapes+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5.xml" ContentType="application/vnd.openxmlformats-officedocument.drawingml.chartshapes+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defaultThemeVersion="202300"/>
  <mc:AlternateContent xmlns:mc="http://schemas.openxmlformats.org/markup-compatibility/2006">
    <mc:Choice Requires="x15">
      <x15ac:absPath xmlns:x15ac="http://schemas.microsoft.com/office/spreadsheetml/2010/11/ac" url="C:\Users\Hp\Documents\"/>
    </mc:Choice>
  </mc:AlternateContent>
  <xr:revisionPtr revIDLastSave="0" documentId="8_{DB74F0EE-586C-49E3-9939-44AFC13F1EC4}" xr6:coauthVersionLast="47" xr6:coauthVersionMax="47" xr10:uidLastSave="{00000000-0000-0000-0000-000000000000}"/>
  <bookViews>
    <workbookView xWindow="-110" yWindow="-110" windowWidth="19420" windowHeight="10420" activeTab="3" xr2:uid="{6E8D716A-CC3D-47EE-B9C5-99AF7377E2B0}"/>
  </bookViews>
  <sheets>
    <sheet name="DASHBOARD" sheetId="1" r:id="rId1"/>
    <sheet name="CONTENTS" sheetId="2" r:id="rId2"/>
    <sheet name="Sheet1" sheetId="3" r:id="rId3"/>
    <sheet name="Sheet2" sheetId="4" r:id="rId4"/>
  </sheets>
  <definedNames>
    <definedName name="Slicer_City">#N/A</definedName>
    <definedName name="Slicer_Trip_Type">#N/A</definedName>
    <definedName name="Slicer_Vehicle_Type">#N/A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D3" i="2" l="1"/>
  <c r="D4" i="2"/>
  <c r="D5" i="2"/>
  <c r="D6" i="2"/>
  <c r="D7" i="2"/>
</calcChain>
</file>

<file path=xl/sharedStrings.xml><?xml version="1.0" encoding="utf-8"?>
<sst xmlns="http://schemas.openxmlformats.org/spreadsheetml/2006/main" count="452" uniqueCount="123">
  <si>
    <t>Ride_ID</t>
  </si>
  <si>
    <t>Date</t>
  </si>
  <si>
    <t>City</t>
  </si>
  <si>
    <t>Vehicle_Type</t>
  </si>
  <si>
    <t>Trip_Type</t>
  </si>
  <si>
    <t>Customer_Type</t>
  </si>
  <si>
    <t>Payment_Mode</t>
  </si>
  <si>
    <t>Distance_KM</t>
  </si>
  <si>
    <t>Fare_INR</t>
  </si>
  <si>
    <t>Discount_INR</t>
  </si>
  <si>
    <t>Driver_Rating</t>
  </si>
  <si>
    <t>Customer_Rating</t>
  </si>
  <si>
    <t>Trip_Duration_Min</t>
  </si>
  <si>
    <t>Status</t>
  </si>
  <si>
    <t>UBR001</t>
  </si>
  <si>
    <t>Bengaluru</t>
  </si>
  <si>
    <t>UberGo</t>
  </si>
  <si>
    <t>Regular</t>
  </si>
  <si>
    <t>UPI</t>
  </si>
  <si>
    <t>Completed</t>
  </si>
  <si>
    <t>UBR002</t>
  </si>
  <si>
    <t>Mumbai</t>
  </si>
  <si>
    <t>New</t>
  </si>
  <si>
    <t>Card</t>
  </si>
  <si>
    <t>UBR003</t>
  </si>
  <si>
    <t>Delhi</t>
  </si>
  <si>
    <t>UberXL</t>
  </si>
  <si>
    <t>Airport</t>
  </si>
  <si>
    <t>UBR004</t>
  </si>
  <si>
    <t>Hyderabad</t>
  </si>
  <si>
    <t>Cash</t>
  </si>
  <si>
    <t>UBR005</t>
  </si>
  <si>
    <t>Chennai</t>
  </si>
  <si>
    <t>Premier</t>
  </si>
  <si>
    <t>Premium</t>
  </si>
  <si>
    <t>UBR006</t>
  </si>
  <si>
    <t>Pune</t>
  </si>
  <si>
    <t>UBR007</t>
  </si>
  <si>
    <t>Auto</t>
  </si>
  <si>
    <t>UBR008</t>
  </si>
  <si>
    <t>UBR009</t>
  </si>
  <si>
    <t>UBR010</t>
  </si>
  <si>
    <t>Kochi</t>
  </si>
  <si>
    <t>UBR011</t>
  </si>
  <si>
    <t>UBR012</t>
  </si>
  <si>
    <t>UBR013</t>
  </si>
  <si>
    <t>UBR014</t>
  </si>
  <si>
    <t>UBR015</t>
  </si>
  <si>
    <t>UBR016</t>
  </si>
  <si>
    <t>UBR017</t>
  </si>
  <si>
    <t>Cancelled</t>
  </si>
  <si>
    <t>UBR018</t>
  </si>
  <si>
    <t>UBR019</t>
  </si>
  <si>
    <t>UBR020</t>
  </si>
  <si>
    <t>UBR021</t>
  </si>
  <si>
    <t>UBR022</t>
  </si>
  <si>
    <t>UBR023</t>
  </si>
  <si>
    <t>UBR024</t>
  </si>
  <si>
    <t>UBR025</t>
  </si>
  <si>
    <t>UBR026</t>
  </si>
  <si>
    <t>UBR027</t>
  </si>
  <si>
    <t>UBR028</t>
  </si>
  <si>
    <t>UBR029</t>
  </si>
  <si>
    <t>UBR030</t>
  </si>
  <si>
    <t>UBR031</t>
  </si>
  <si>
    <t>UBR032</t>
  </si>
  <si>
    <t>UBR033</t>
  </si>
  <si>
    <t>UBR034</t>
  </si>
  <si>
    <t>UBR035</t>
  </si>
  <si>
    <t>UBR036</t>
  </si>
  <si>
    <t>UBR037</t>
  </si>
  <si>
    <t>UBR038</t>
  </si>
  <si>
    <t>UBR039</t>
  </si>
  <si>
    <t>UBR040</t>
  </si>
  <si>
    <t>UBR041</t>
  </si>
  <si>
    <t>UBR042</t>
  </si>
  <si>
    <t>UBR043</t>
  </si>
  <si>
    <t>UBR044</t>
  </si>
  <si>
    <t>UBR045</t>
  </si>
  <si>
    <t>UBR046</t>
  </si>
  <si>
    <t>UBR047</t>
  </si>
  <si>
    <t>UBR048</t>
  </si>
  <si>
    <t>UBR049</t>
  </si>
  <si>
    <t>UBR050</t>
  </si>
  <si>
    <t>KPI</t>
  </si>
  <si>
    <t>Calculation</t>
  </si>
  <si>
    <t>Total Rides</t>
  </si>
  <si>
    <t>Count of Ride_ID</t>
  </si>
  <si>
    <t>Completed Rides</t>
  </si>
  <si>
    <t>Count where Status = Completed</t>
  </si>
  <si>
    <t>Total Revenue</t>
  </si>
  <si>
    <t>Sum of Fare_INR</t>
  </si>
  <si>
    <t>Average Fare</t>
  </si>
  <si>
    <t>Average of Fare_INR</t>
  </si>
  <si>
    <t>Average Customer Rating</t>
  </si>
  <si>
    <t>Average of Customer_Rating</t>
  </si>
  <si>
    <t>Chart</t>
  </si>
  <si>
    <t>Fields</t>
  </si>
  <si>
    <t>Revenue by City</t>
  </si>
  <si>
    <t>City + Fare</t>
  </si>
  <si>
    <t>Rides by Vehicle Type</t>
  </si>
  <si>
    <t>Vehicle_Type + Count of Ride_ID</t>
  </si>
  <si>
    <t>Daily Revenue Trend</t>
  </si>
  <si>
    <t>Date + Fare</t>
  </si>
  <si>
    <t>Payment Mode Distribution</t>
  </si>
  <si>
    <t>Payment_Mode + Count of Ride_ID</t>
  </si>
  <si>
    <t>Revenue by Trip Type</t>
  </si>
  <si>
    <t>Trip_Type + Fare</t>
  </si>
  <si>
    <t>Customer Type Distribution</t>
  </si>
  <si>
    <t>Customer_Type + Count of Ride_ID</t>
  </si>
  <si>
    <t>Average Rating by Vehicle</t>
  </si>
  <si>
    <t>Vehicle_Type + Customer_Rating</t>
  </si>
  <si>
    <t>Completed vs Cancelled</t>
  </si>
  <si>
    <t>Status + Count of Ride_ID</t>
  </si>
  <si>
    <t>Recommended Slicers</t>
  </si>
  <si>
    <t>Vehicle Type</t>
  </si>
  <si>
    <t>Trip Type</t>
  </si>
  <si>
    <t>Customer Type</t>
  </si>
  <si>
    <t>Payment Mode</t>
  </si>
  <si>
    <t>ANSWER</t>
  </si>
  <si>
    <t>Row Labels</t>
  </si>
  <si>
    <t>Grand Total</t>
  </si>
  <si>
    <t>Sum of Customer_Rating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</si>
</sst>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theme="1"/>
      <name val="Aptos Narrow"/>
      <family val="2"/>
      <scheme val="minor"/>
    </font>
    <font>
      <b/>
      <sz val="13.5"/>
      <color theme="1"/>
      <name val="Aptos Narrow"/>
      <family val="2"/>
      <scheme val="minor"/>
    </font>
  </fonts>
  <fills count="3">
    <fill>
      <patternFill patternType="none"/>
    </fill>
    <fill>
      <patternFill patternType="gray125"/>
    </fill>
    <fill>
      <patternFill patternType="solid">
        <fgColor theme="3" tint="0.89999084444715716"/>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4">
    <xf numFmtId="0" fontId="0" fillId="0" borderId="0" xfId="0"/>
    <xf numFmtId="0" fontId="1" fillId="0" borderId="0" xfId="0" applyFont="1" applyAlignment="1">
      <alignment horizontal="center" vertical="center" wrapText="1"/>
    </xf>
    <xf numFmtId="0" fontId="0" fillId="0" borderId="0" xfId="0" applyAlignment="1">
      <alignment horizontal="right" vertical="center" wrapText="1"/>
    </xf>
    <xf numFmtId="0" fontId="1" fillId="0" borderId="0" xfId="0" applyFont="1" applyAlignment="1">
      <alignment horizontal="right" vertical="center" wrapText="1"/>
    </xf>
    <xf numFmtId="0" fontId="0" fillId="0" borderId="0" xfId="0" applyAlignment="1">
      <alignment vertical="center" wrapText="1"/>
    </xf>
    <xf numFmtId="15" fontId="0" fillId="0" borderId="0" xfId="0" applyNumberFormat="1" applyAlignment="1">
      <alignment vertical="center" wrapText="1"/>
    </xf>
    <xf numFmtId="0" fontId="2" fillId="2" borderId="1" xfId="0" applyFont="1" applyFill="1" applyBorder="1" applyAlignment="1">
      <alignment vertical="center"/>
    </xf>
    <xf numFmtId="0" fontId="0" fillId="2" borderId="1" xfId="0" applyFill="1" applyBorder="1" applyAlignment="1">
      <alignment horizontal="left" vertical="center" indent="1"/>
    </xf>
    <xf numFmtId="0" fontId="1" fillId="2" borderId="1" xfId="0" applyFont="1" applyFill="1" applyBorder="1" applyAlignment="1">
      <alignment horizontal="center" vertical="center" wrapText="1"/>
    </xf>
    <xf numFmtId="0" fontId="1" fillId="2" borderId="1" xfId="0" applyFont="1" applyFill="1" applyBorder="1" applyAlignment="1">
      <alignment vertical="center" wrapText="1"/>
    </xf>
    <xf numFmtId="0" fontId="0" fillId="2" borderId="1" xfId="0" applyFill="1" applyBorder="1" applyAlignment="1">
      <alignment vertical="center" wrapText="1"/>
    </xf>
    <xf numFmtId="0" fontId="0" fillId="0" borderId="0" xfId="0" pivotButton="1"/>
    <xf numFmtId="0" fontId="0" fillId="0" borderId="0" xfId="0" applyAlignment="1">
      <alignment horizontal="left"/>
    </xf>
    <xf numFmtId="15" fontId="0" fillId="0" borderId="0" xfId="0" applyNumberFormat="1" applyAlignment="1">
      <alignment horizontal="left"/>
    </xf>
  </cellXfs>
  <cellStyles count="1">
    <cellStyle name="Normal" xfId="0" builtinId="0"/>
  </cellStyles>
  <dxfs count="16">
    <dxf>
      <alignment horizontal="general" vertical="center" textRotation="0" wrapText="1" indent="0" justifyLastLine="0" shrinkToFit="0" readingOrder="0"/>
    </dxf>
    <dxf>
      <alignment horizontal="right" vertical="center" textRotation="0" wrapText="1" indent="0" justifyLastLine="0" shrinkToFit="0" readingOrder="0"/>
    </dxf>
    <dxf>
      <alignment horizontal="right" vertical="center" textRotation="0" wrapText="1" indent="0" justifyLastLine="0" shrinkToFit="0" readingOrder="0"/>
    </dxf>
    <dxf>
      <alignment horizontal="right" vertical="center" textRotation="0" wrapText="1" indent="0" justifyLastLine="0" shrinkToFit="0" readingOrder="0"/>
    </dxf>
    <dxf>
      <alignment horizontal="right" vertical="center" textRotation="0" wrapText="1" indent="0" justifyLastLine="0" shrinkToFit="0" readingOrder="0"/>
    </dxf>
    <dxf>
      <alignment horizontal="right" vertical="center" textRotation="0" wrapText="1" indent="0" justifyLastLine="0" shrinkToFit="0" readingOrder="0"/>
    </dxf>
    <dxf>
      <alignment horizontal="right"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numFmt numFmtId="20" formatCode="dd/mmm/yy"/>
      <alignment horizontal="general" vertical="center" textRotation="0" wrapText="1" indent="0" justifyLastLine="0" shrinkToFit="0" readingOrder="0"/>
    </dxf>
    <dxf>
      <alignment horizontal="general" vertical="center" textRotation="0" wrapText="1" indent="0" justifyLastLine="0" shrinkToFit="0" readingOrder="0"/>
    </dxf>
    <dxf>
      <alignment horizontal="right" vertical="center" textRotation="0" wrapText="1" indent="0" justifyLastLine="0" shrinkToFit="0" readingOrder="0"/>
    </dxf>
    <dxf>
      <font>
        <b/>
        <i val="0"/>
        <strike val="0"/>
        <condense val="0"/>
        <extend val="0"/>
        <outline val="0"/>
        <shadow val="0"/>
        <u val="none"/>
        <vertAlign val="baseline"/>
        <sz val="11"/>
        <color theme="1"/>
        <name val="Aptos Narrow"/>
        <family val="2"/>
        <scheme val="minor"/>
      </font>
      <alignment horizontal="right" vertical="center" textRotation="0" wrapText="1" indent="0" justifyLastLine="0" shrinkToFit="0" readingOrder="0"/>
    </dxf>
  </dxfs>
  <tableStyles count="0" defaultTableStyle="TableStyleMedium2" defaultPivotStyle="PivotStyleLight16"/>
  <colors>
    <mruColors>
      <color rgb="FFE0D68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[UBER_DASHBOARD.xlsx]Sheet1!PivotTable1</c:name>
    <c:fmtId val="0"/>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Sheet1!$B$1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Sheet1!$A$2:$A$9</c:f>
              <c:strCache>
                <c:ptCount val="7"/>
                <c:pt idx="0">
                  <c:v>Bengaluru</c:v>
                </c:pt>
                <c:pt idx="1">
                  <c:v>Chennai</c:v>
                </c:pt>
                <c:pt idx="2">
                  <c:v>Delhi</c:v>
                </c:pt>
                <c:pt idx="3">
                  <c:v>Hyderabad</c:v>
                </c:pt>
                <c:pt idx="4">
                  <c:v>Kochi</c:v>
                </c:pt>
                <c:pt idx="5">
                  <c:v>Mumbai</c:v>
                </c:pt>
                <c:pt idx="6">
                  <c:v>Pune</c:v>
                </c:pt>
              </c:strCache>
            </c:strRef>
          </c:cat>
          <c:val>
            <c:numRef>
              <c:f>Sheet1!$B$2:$B$9</c:f>
              <c:numCache>
                <c:formatCode>General</c:formatCode>
                <c:ptCount val="7"/>
                <c:pt idx="0">
                  <c:v>2425</c:v>
                </c:pt>
                <c:pt idx="1">
                  <c:v>2980</c:v>
                </c:pt>
                <c:pt idx="2">
                  <c:v>2895</c:v>
                </c:pt>
                <c:pt idx="3">
                  <c:v>2122</c:v>
                </c:pt>
                <c:pt idx="4">
                  <c:v>1865</c:v>
                </c:pt>
                <c:pt idx="5">
                  <c:v>3525</c:v>
                </c:pt>
                <c:pt idx="6">
                  <c:v>2230</c:v>
                </c:pt>
              </c:numCache>
            </c:numRef>
          </c:val>
          <c:extLst>
            <c:ext xmlns:c16="http://schemas.microsoft.com/office/drawing/2014/chart" uri="{C3380CC4-5D6E-409C-BE32-E72D297353CC}">
              <c16:uniqueId val="{00000000-19FE-4441-A1E5-5769152CBE0D}"/>
            </c:ext>
          </c:extLst>
        </c:ser>
        <c:dLbls>
          <c:showLegendKey val="0"/>
          <c:showVal val="0"/>
          <c:showCatName val="0"/>
          <c:showSerName val="0"/>
          <c:showPercent val="0"/>
          <c:showBubbleSize val="0"/>
        </c:dLbls>
        <c:gapWidth val="150"/>
        <c:overlap val="100"/>
        <c:axId val="1487928640"/>
        <c:axId val="1410256448"/>
      </c:barChart>
      <c:catAx>
        <c:axId val="1487928640"/>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0256448"/>
        <c:crosses val="autoZero"/>
        <c:auto val="1"/>
        <c:lblAlgn val="ctr"/>
        <c:lblOffset val="100"/>
        <c:noMultiLvlLbl val="0"/>
      </c:catAx>
      <c:valAx>
        <c:axId val="14102564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79286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[UBER_DASHBOARD.xlsx]Sheet1!PivotTable2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7025371828521445E-2"/>
          <c:y val="0.17069225721784775"/>
          <c:w val="0.78883092738407701"/>
          <c:h val="0.53811424613589964"/>
        </c:manualLayout>
      </c:layout>
      <c:barChart>
        <c:barDir val="col"/>
        <c:grouping val="clustered"/>
        <c:varyColors val="0"/>
        <c:ser>
          <c:idx val="0"/>
          <c:order val="0"/>
          <c:tx>
            <c:strRef>
              <c:f>Sheet1!$E$1</c:f>
              <c:strCache>
                <c:ptCount val="1"/>
                <c:pt idx="0">
                  <c:v>Total</c:v>
                </c:pt>
              </c:strCache>
            </c:strRef>
          </c:tx>
          <c:spPr>
            <a:solidFill>
              <a:schemeClr val="accent1"/>
            </a:solidFill>
            <a:ln>
              <a:noFill/>
            </a:ln>
            <a:effectLst/>
          </c:spPr>
          <c:invertIfNegative val="0"/>
          <c:cat>
            <c:strRef>
              <c:f>Sheet1!$D$2:$D$6</c:f>
              <c:strCache>
                <c:ptCount val="4"/>
                <c:pt idx="0">
                  <c:v>Auto</c:v>
                </c:pt>
                <c:pt idx="1">
                  <c:v>Premier</c:v>
                </c:pt>
                <c:pt idx="2">
                  <c:v>UberGo</c:v>
                </c:pt>
                <c:pt idx="3">
                  <c:v>UberXL</c:v>
                </c:pt>
              </c:strCache>
            </c:strRef>
          </c:cat>
          <c:val>
            <c:numRef>
              <c:f>Sheet1!$E$2:$E$6</c:f>
              <c:numCache>
                <c:formatCode>General</c:formatCode>
                <c:ptCount val="4"/>
                <c:pt idx="0">
                  <c:v>9</c:v>
                </c:pt>
                <c:pt idx="1">
                  <c:v>8</c:v>
                </c:pt>
                <c:pt idx="2">
                  <c:v>25</c:v>
                </c:pt>
                <c:pt idx="3">
                  <c:v>8</c:v>
                </c:pt>
              </c:numCache>
            </c:numRef>
          </c:val>
          <c:extLst>
            <c:ext xmlns:c16="http://schemas.microsoft.com/office/drawing/2014/chart" uri="{C3380CC4-5D6E-409C-BE32-E72D297353CC}">
              <c16:uniqueId val="{00000000-5B8A-4965-BE98-D305A168F73B}"/>
            </c:ext>
          </c:extLst>
        </c:ser>
        <c:dLbls>
          <c:showLegendKey val="0"/>
          <c:showVal val="0"/>
          <c:showCatName val="0"/>
          <c:showSerName val="0"/>
          <c:showPercent val="0"/>
          <c:showBubbleSize val="0"/>
        </c:dLbls>
        <c:gapWidth val="219"/>
        <c:overlap val="-27"/>
        <c:axId val="1500432256"/>
        <c:axId val="1410261728"/>
      </c:barChart>
      <c:catAx>
        <c:axId val="15004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0261728"/>
        <c:crosses val="autoZero"/>
        <c:auto val="1"/>
        <c:lblAlgn val="ctr"/>
        <c:lblOffset val="100"/>
        <c:noMultiLvlLbl val="0"/>
      </c:catAx>
      <c:valAx>
        <c:axId val="14102617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04322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[UBER_DASHBOARD.xlsx]Sheet1!PivotTable5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Sheet1!$K$1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A17-4B38-9868-52E5CECA248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A17-4B38-9868-52E5CECA248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A17-4B38-9868-52E5CECA2480}"/>
              </c:ext>
            </c:extLst>
          </c:dPt>
          <c:cat>
            <c:strRef>
              <c:f>Sheet1!$J$2:$J$5</c:f>
              <c:strCache>
                <c:ptCount val="3"/>
                <c:pt idx="0">
                  <c:v>Card</c:v>
                </c:pt>
                <c:pt idx="1">
                  <c:v>Cash</c:v>
                </c:pt>
                <c:pt idx="2">
                  <c:v>UPI</c:v>
                </c:pt>
              </c:strCache>
            </c:strRef>
          </c:cat>
          <c:val>
            <c:numRef>
              <c:f>Sheet1!$K$2:$K$5</c:f>
              <c:numCache>
                <c:formatCode>General</c:formatCode>
                <c:ptCount val="3"/>
                <c:pt idx="0">
                  <c:v>17</c:v>
                </c:pt>
                <c:pt idx="1">
                  <c:v>10</c:v>
                </c:pt>
                <c:pt idx="2">
                  <c:v>23</c:v>
                </c:pt>
              </c:numCache>
            </c:numRef>
          </c:val>
          <c:extLst>
            <c:ext xmlns:c16="http://schemas.microsoft.com/office/drawing/2014/chart" uri="{C3380CC4-5D6E-409C-BE32-E72D297353CC}">
              <c16:uniqueId val="{00000000-6ED3-4926-A63B-CE760D532400}"/>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[UBER_DASHBOARD.xlsx]Sheet1!PivotTable6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Sheet1!$N$1</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4A1E-4BA2-8CFF-E724A57638AA}"/>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4A1E-4BA2-8CFF-E724A57638AA}"/>
              </c:ext>
            </c:extLst>
          </c:dPt>
          <c:cat>
            <c:strRef>
              <c:f>Sheet1!$M$2:$M$4</c:f>
              <c:strCache>
                <c:ptCount val="2"/>
                <c:pt idx="0">
                  <c:v>Airport</c:v>
                </c:pt>
                <c:pt idx="1">
                  <c:v>City</c:v>
                </c:pt>
              </c:strCache>
            </c:strRef>
          </c:cat>
          <c:val>
            <c:numRef>
              <c:f>Sheet1!$N$2:$N$4</c:f>
              <c:numCache>
                <c:formatCode>General</c:formatCode>
                <c:ptCount val="2"/>
                <c:pt idx="0">
                  <c:v>8400</c:v>
                </c:pt>
                <c:pt idx="1">
                  <c:v>9642</c:v>
                </c:pt>
              </c:numCache>
            </c:numRef>
          </c:val>
          <c:extLst>
            <c:ext xmlns:c16="http://schemas.microsoft.com/office/drawing/2014/chart" uri="{C3380CC4-5D6E-409C-BE32-E72D297353CC}">
              <c16:uniqueId val="{00000000-E6EA-46F8-82FA-D867CD931450}"/>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[UBER_DASHBOARD.xlsx]Sheet1!PivotTable7</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Sheet1!$Q$1</c:f>
              <c:strCache>
                <c:ptCount val="1"/>
                <c:pt idx="0">
                  <c:v>Total</c:v>
                </c:pt>
              </c:strCache>
            </c:strRef>
          </c:tx>
          <c:spPr>
            <a:solidFill>
              <a:schemeClr val="accent1"/>
            </a:solidFill>
            <a:ln>
              <a:noFill/>
            </a:ln>
            <a:effectLst/>
          </c:spPr>
          <c:invertIfNegative val="0"/>
          <c:cat>
            <c:strRef>
              <c:f>Sheet1!$P$2:$P$5</c:f>
              <c:strCache>
                <c:ptCount val="3"/>
                <c:pt idx="0">
                  <c:v>New</c:v>
                </c:pt>
                <c:pt idx="1">
                  <c:v>Premium</c:v>
                </c:pt>
                <c:pt idx="2">
                  <c:v>Regular</c:v>
                </c:pt>
              </c:strCache>
            </c:strRef>
          </c:cat>
          <c:val>
            <c:numRef>
              <c:f>Sheet1!$Q$2:$Q$5</c:f>
              <c:numCache>
                <c:formatCode>General</c:formatCode>
                <c:ptCount val="3"/>
                <c:pt idx="0">
                  <c:v>13</c:v>
                </c:pt>
                <c:pt idx="1">
                  <c:v>11</c:v>
                </c:pt>
                <c:pt idx="2">
                  <c:v>26</c:v>
                </c:pt>
              </c:numCache>
            </c:numRef>
          </c:val>
          <c:extLst>
            <c:ext xmlns:c16="http://schemas.microsoft.com/office/drawing/2014/chart" uri="{C3380CC4-5D6E-409C-BE32-E72D297353CC}">
              <c16:uniqueId val="{00000000-0546-43FC-98BF-0BAA1F2B7D48}"/>
            </c:ext>
          </c:extLst>
        </c:ser>
        <c:dLbls>
          <c:showLegendKey val="0"/>
          <c:showVal val="0"/>
          <c:showCatName val="0"/>
          <c:showSerName val="0"/>
          <c:showPercent val="0"/>
          <c:showBubbleSize val="0"/>
        </c:dLbls>
        <c:gapWidth val="150"/>
        <c:overlap val="100"/>
        <c:axId val="1514989456"/>
        <c:axId val="1401399936"/>
      </c:barChart>
      <c:catAx>
        <c:axId val="15149894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1399936"/>
        <c:crosses val="autoZero"/>
        <c:auto val="1"/>
        <c:lblAlgn val="ctr"/>
        <c:lblOffset val="100"/>
        <c:noMultiLvlLbl val="0"/>
      </c:catAx>
      <c:valAx>
        <c:axId val="14013999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49894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[UBER_DASHBOARD.xlsx]Sheet1!PivotTable8</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Sheet1!$T$1</c:f>
              <c:strCache>
                <c:ptCount val="1"/>
                <c:pt idx="0">
                  <c:v>Total</c:v>
                </c:pt>
              </c:strCache>
            </c:strRef>
          </c:tx>
          <c:spPr>
            <a:solidFill>
              <a:schemeClr val="accent1"/>
            </a:solidFill>
            <a:ln>
              <a:noFill/>
            </a:ln>
            <a:effectLst/>
          </c:spPr>
          <c:invertIfNegative val="0"/>
          <c:cat>
            <c:strRef>
              <c:f>Sheet1!$S$2:$S$6</c:f>
              <c:strCache>
                <c:ptCount val="4"/>
                <c:pt idx="0">
                  <c:v>Auto</c:v>
                </c:pt>
                <c:pt idx="1">
                  <c:v>Premier</c:v>
                </c:pt>
                <c:pt idx="2">
                  <c:v>UberGo</c:v>
                </c:pt>
                <c:pt idx="3">
                  <c:v>UberXL</c:v>
                </c:pt>
              </c:strCache>
            </c:strRef>
          </c:cat>
          <c:val>
            <c:numRef>
              <c:f>Sheet1!$T$2:$T$6</c:f>
              <c:numCache>
                <c:formatCode>General</c:formatCode>
                <c:ptCount val="4"/>
                <c:pt idx="0">
                  <c:v>38.5</c:v>
                </c:pt>
                <c:pt idx="1">
                  <c:v>38.799999999999997</c:v>
                </c:pt>
                <c:pt idx="2">
                  <c:v>112.89999999999999</c:v>
                </c:pt>
                <c:pt idx="3">
                  <c:v>38</c:v>
                </c:pt>
              </c:numCache>
            </c:numRef>
          </c:val>
          <c:extLst>
            <c:ext xmlns:c16="http://schemas.microsoft.com/office/drawing/2014/chart" uri="{C3380CC4-5D6E-409C-BE32-E72D297353CC}">
              <c16:uniqueId val="{00000000-478C-449A-AD57-5710D87CDF5A}"/>
            </c:ext>
          </c:extLst>
        </c:ser>
        <c:dLbls>
          <c:showLegendKey val="0"/>
          <c:showVal val="0"/>
          <c:showCatName val="0"/>
          <c:showSerName val="0"/>
          <c:showPercent val="0"/>
          <c:showBubbleSize val="0"/>
        </c:dLbls>
        <c:gapWidth val="150"/>
        <c:overlap val="100"/>
        <c:axId val="1330044144"/>
        <c:axId val="1338812608"/>
      </c:barChart>
      <c:catAx>
        <c:axId val="13300441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8812608"/>
        <c:crosses val="autoZero"/>
        <c:auto val="1"/>
        <c:lblAlgn val="ctr"/>
        <c:lblOffset val="100"/>
        <c:noMultiLvlLbl val="0"/>
      </c:catAx>
      <c:valAx>
        <c:axId val="133881260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00441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[UBER_DASHBOARD.xlsx]Sheet1!PivotTable4</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Sheet1!$H$1</c:f>
              <c:strCache>
                <c:ptCount val="1"/>
                <c:pt idx="0">
                  <c:v>Total</c:v>
                </c:pt>
              </c:strCache>
            </c:strRef>
          </c:tx>
          <c:spPr>
            <a:ln w="28575" cap="rnd">
              <a:solidFill>
                <a:schemeClr val="accent1"/>
              </a:solidFill>
              <a:round/>
            </a:ln>
            <a:effectLst/>
          </c:spPr>
          <c:marker>
            <c:symbol val="none"/>
          </c:marker>
          <c:cat>
            <c:strRef>
              <c:f>Sheet1!$G$2:$G$11</c:f>
              <c:strCache>
                <c:ptCount val="9"/>
                <c:pt idx="0">
                  <c:v>01-Aug-26</c:v>
                </c:pt>
                <c:pt idx="1">
                  <c:v>02-Aug-26</c:v>
                </c:pt>
                <c:pt idx="2">
                  <c:v>03-Aug-26</c:v>
                </c:pt>
                <c:pt idx="3">
                  <c:v>04-Aug-26</c:v>
                </c:pt>
                <c:pt idx="4">
                  <c:v>05-Aug-26</c:v>
                </c:pt>
                <c:pt idx="5">
                  <c:v>06-Aug-26</c:v>
                </c:pt>
                <c:pt idx="6">
                  <c:v>07-Aug-26</c:v>
                </c:pt>
                <c:pt idx="7">
                  <c:v>08-Aug-26</c:v>
                </c:pt>
                <c:pt idx="8">
                  <c:v>09-Aug-26</c:v>
                </c:pt>
              </c:strCache>
            </c:strRef>
          </c:cat>
          <c:val>
            <c:numRef>
              <c:f>Sheet1!$H$2:$H$11</c:f>
              <c:numCache>
                <c:formatCode>General</c:formatCode>
                <c:ptCount val="9"/>
                <c:pt idx="0">
                  <c:v>1950</c:v>
                </c:pt>
                <c:pt idx="1">
                  <c:v>2040</c:v>
                </c:pt>
                <c:pt idx="2">
                  <c:v>2215</c:v>
                </c:pt>
                <c:pt idx="3">
                  <c:v>2385</c:v>
                </c:pt>
                <c:pt idx="4">
                  <c:v>1570</c:v>
                </c:pt>
                <c:pt idx="5">
                  <c:v>1965</c:v>
                </c:pt>
                <c:pt idx="6">
                  <c:v>2505</c:v>
                </c:pt>
                <c:pt idx="7">
                  <c:v>2167</c:v>
                </c:pt>
                <c:pt idx="8">
                  <c:v>1245</c:v>
                </c:pt>
              </c:numCache>
            </c:numRef>
          </c:val>
          <c:smooth val="0"/>
          <c:extLst>
            <c:ext xmlns:c16="http://schemas.microsoft.com/office/drawing/2014/chart" uri="{C3380CC4-5D6E-409C-BE32-E72D297353CC}">
              <c16:uniqueId val="{00000000-9C0B-4576-8956-5A80FD77F03F}"/>
            </c:ext>
          </c:extLst>
        </c:ser>
        <c:dLbls>
          <c:showLegendKey val="0"/>
          <c:showVal val="0"/>
          <c:showCatName val="0"/>
          <c:showSerName val="0"/>
          <c:showPercent val="0"/>
          <c:showBubbleSize val="0"/>
        </c:dLbls>
        <c:smooth val="0"/>
        <c:axId val="1530311664"/>
        <c:axId val="1401392736"/>
      </c:lineChart>
      <c:catAx>
        <c:axId val="15303116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1392736"/>
        <c:crosses val="autoZero"/>
        <c:auto val="1"/>
        <c:lblAlgn val="ctr"/>
        <c:lblOffset val="100"/>
        <c:noMultiLvlLbl val="0"/>
      </c:catAx>
      <c:valAx>
        <c:axId val="14013927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03116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[UBER_DASHBOARD.xlsx]Sheet1!PivotTable9</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manualLayout>
          <c:layoutTarget val="inner"/>
          <c:xMode val="edge"/>
          <c:yMode val="edge"/>
          <c:x val="0.23380949256342956"/>
          <c:y val="0.24476633129192185"/>
          <c:w val="0.41147353455818025"/>
          <c:h val="0.68578922426363376"/>
        </c:manualLayout>
      </c:layout>
      <c:doughnutChart>
        <c:varyColors val="1"/>
        <c:ser>
          <c:idx val="0"/>
          <c:order val="0"/>
          <c:tx>
            <c:strRef>
              <c:f>Sheet1!$W$1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8BE-45D5-8676-E6E522099D4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8BE-45D5-8676-E6E522099D47}"/>
              </c:ext>
            </c:extLst>
          </c:dPt>
          <c:cat>
            <c:strRef>
              <c:f>Sheet1!$V$2:$V$4</c:f>
              <c:strCache>
                <c:ptCount val="2"/>
                <c:pt idx="0">
                  <c:v>Cancelled</c:v>
                </c:pt>
                <c:pt idx="1">
                  <c:v>Completed</c:v>
                </c:pt>
              </c:strCache>
            </c:strRef>
          </c:cat>
          <c:val>
            <c:numRef>
              <c:f>Sheet1!$W$2:$W$4</c:f>
              <c:numCache>
                <c:formatCode>General</c:formatCode>
                <c:ptCount val="2"/>
                <c:pt idx="0">
                  <c:v>3</c:v>
                </c:pt>
                <c:pt idx="1">
                  <c:v>47</c:v>
                </c:pt>
              </c:numCache>
            </c:numRef>
          </c:val>
          <c:extLst>
            <c:ext xmlns:c16="http://schemas.microsoft.com/office/drawing/2014/chart" uri="{C3380CC4-5D6E-409C-BE32-E72D297353CC}">
              <c16:uniqueId val="{00000000-DC1F-420E-A303-7DAB280189A7}"/>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[UBER_DASHBOARD.xlsx]Sheet1!PivotTable1</c:name>
    <c:fmtId val="6"/>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REVENUE</a:t>
            </a:r>
            <a:r>
              <a:rPr lang="en-US" baseline="0"/>
              <a:t> BY CITY</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Sheet1!$B$1</c:f>
              <c:strCache>
                <c:ptCount val="1"/>
                <c:pt idx="0">
                  <c:v>Total</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Sheet1!$A$2:$A$9</c:f>
              <c:strCache>
                <c:ptCount val="7"/>
                <c:pt idx="0">
                  <c:v>Bengaluru</c:v>
                </c:pt>
                <c:pt idx="1">
                  <c:v>Chennai</c:v>
                </c:pt>
                <c:pt idx="2">
                  <c:v>Delhi</c:v>
                </c:pt>
                <c:pt idx="3">
                  <c:v>Hyderabad</c:v>
                </c:pt>
                <c:pt idx="4">
                  <c:v>Kochi</c:v>
                </c:pt>
                <c:pt idx="5">
                  <c:v>Mumbai</c:v>
                </c:pt>
                <c:pt idx="6">
                  <c:v>Pune</c:v>
                </c:pt>
              </c:strCache>
            </c:strRef>
          </c:cat>
          <c:val>
            <c:numRef>
              <c:f>Sheet1!$B$2:$B$9</c:f>
              <c:numCache>
                <c:formatCode>General</c:formatCode>
                <c:ptCount val="7"/>
                <c:pt idx="0">
                  <c:v>2425</c:v>
                </c:pt>
                <c:pt idx="1">
                  <c:v>2980</c:v>
                </c:pt>
                <c:pt idx="2">
                  <c:v>2895</c:v>
                </c:pt>
                <c:pt idx="3">
                  <c:v>2122</c:v>
                </c:pt>
                <c:pt idx="4">
                  <c:v>1865</c:v>
                </c:pt>
                <c:pt idx="5">
                  <c:v>3525</c:v>
                </c:pt>
                <c:pt idx="6">
                  <c:v>2230</c:v>
                </c:pt>
              </c:numCache>
            </c:numRef>
          </c:val>
          <c:extLst>
            <c:ext xmlns:c16="http://schemas.microsoft.com/office/drawing/2014/chart" uri="{C3380CC4-5D6E-409C-BE32-E72D297353CC}">
              <c16:uniqueId val="{00000000-8043-4F5E-98C1-8A7EF97BCA05}"/>
            </c:ext>
          </c:extLst>
        </c:ser>
        <c:dLbls>
          <c:showLegendKey val="0"/>
          <c:showVal val="0"/>
          <c:showCatName val="0"/>
          <c:showSerName val="0"/>
          <c:showPercent val="0"/>
          <c:showBubbleSize val="0"/>
        </c:dLbls>
        <c:gapWidth val="150"/>
        <c:overlap val="100"/>
        <c:axId val="1487928640"/>
        <c:axId val="1410256448"/>
      </c:barChart>
      <c:catAx>
        <c:axId val="1487928640"/>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0256448"/>
        <c:crosses val="autoZero"/>
        <c:auto val="1"/>
        <c:lblAlgn val="ctr"/>
        <c:lblOffset val="100"/>
        <c:noMultiLvlLbl val="0"/>
      </c:catAx>
      <c:valAx>
        <c:axId val="14102564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79286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[UBER_DASHBOARD.xlsx]Sheet1!PivotTable2</c:name>
    <c:fmtId val="5"/>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9934834510795092E-2"/>
          <c:y val="0.22010105311407133"/>
          <c:w val="0.78883092738407701"/>
          <c:h val="0.53811424613589964"/>
        </c:manualLayout>
      </c:layout>
      <c:barChart>
        <c:barDir val="col"/>
        <c:grouping val="clustered"/>
        <c:varyColors val="0"/>
        <c:ser>
          <c:idx val="0"/>
          <c:order val="0"/>
          <c:tx>
            <c:strRef>
              <c:f>Sheet1!$E$1</c:f>
              <c:strCache>
                <c:ptCount val="1"/>
                <c:pt idx="0">
                  <c:v>Total</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Sheet1!$D$2:$D$6</c:f>
              <c:strCache>
                <c:ptCount val="4"/>
                <c:pt idx="0">
                  <c:v>Auto</c:v>
                </c:pt>
                <c:pt idx="1">
                  <c:v>Premier</c:v>
                </c:pt>
                <c:pt idx="2">
                  <c:v>UberGo</c:v>
                </c:pt>
                <c:pt idx="3">
                  <c:v>UberXL</c:v>
                </c:pt>
              </c:strCache>
            </c:strRef>
          </c:cat>
          <c:val>
            <c:numRef>
              <c:f>Sheet1!$E$2:$E$6</c:f>
              <c:numCache>
                <c:formatCode>General</c:formatCode>
                <c:ptCount val="4"/>
                <c:pt idx="0">
                  <c:v>9</c:v>
                </c:pt>
                <c:pt idx="1">
                  <c:v>8</c:v>
                </c:pt>
                <c:pt idx="2">
                  <c:v>25</c:v>
                </c:pt>
                <c:pt idx="3">
                  <c:v>8</c:v>
                </c:pt>
              </c:numCache>
            </c:numRef>
          </c:val>
          <c:extLst>
            <c:ext xmlns:c16="http://schemas.microsoft.com/office/drawing/2014/chart" uri="{C3380CC4-5D6E-409C-BE32-E72D297353CC}">
              <c16:uniqueId val="{00000000-2248-4345-9DEF-B1684F0F1052}"/>
            </c:ext>
          </c:extLst>
        </c:ser>
        <c:dLbls>
          <c:showLegendKey val="0"/>
          <c:showVal val="0"/>
          <c:showCatName val="0"/>
          <c:showSerName val="0"/>
          <c:showPercent val="0"/>
          <c:showBubbleSize val="0"/>
        </c:dLbls>
        <c:gapWidth val="100"/>
        <c:overlap val="-24"/>
        <c:axId val="1500432256"/>
        <c:axId val="1410261728"/>
      </c:barChart>
      <c:catAx>
        <c:axId val="150043225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10261728"/>
        <c:crosses val="autoZero"/>
        <c:auto val="1"/>
        <c:lblAlgn val="ctr"/>
        <c:lblOffset val="100"/>
        <c:noMultiLvlLbl val="0"/>
      </c:catAx>
      <c:valAx>
        <c:axId val="1410261728"/>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004322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[UBER_DASHBOARD.xlsx]Sheet1!PivotTable5</c:name>
    <c:fmtId val="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PAYMENT</a:t>
            </a:r>
            <a:r>
              <a:rPr lang="en-US" baseline="0"/>
              <a:t> MODE</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pivotFmt>
      <c:pivotFmt>
        <c:idx val="6"/>
      </c:pivotFmt>
      <c:pivotFmt>
        <c:idx val="7"/>
      </c:pivotFmt>
      <c:pivotFmt>
        <c:idx val="8"/>
        <c:spPr>
          <a:solidFill>
            <a:schemeClr val="accent6"/>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6">
              <a:shade val="65000"/>
            </a:schemeClr>
          </a:solidFill>
          <a:ln>
            <a:noFill/>
          </a:ln>
          <a:effectLst>
            <a:outerShdw blurRad="254000" sx="102000" sy="102000" algn="ctr" rotWithShape="0">
              <a:prstClr val="black">
                <a:alpha val="20000"/>
              </a:prstClr>
            </a:outerShdw>
          </a:effectLst>
        </c:spPr>
      </c:pivotFmt>
      <c:pivotFmt>
        <c:idx val="10"/>
        <c:spPr>
          <a:solidFill>
            <a:schemeClr val="accent6"/>
          </a:solidFill>
          <a:ln>
            <a:noFill/>
          </a:ln>
          <a:effectLst>
            <a:outerShdw blurRad="254000" sx="102000" sy="102000" algn="ctr" rotWithShape="0">
              <a:prstClr val="black">
                <a:alpha val="20000"/>
              </a:prstClr>
            </a:outerShdw>
          </a:effectLst>
        </c:spPr>
      </c:pivotFmt>
      <c:pivotFmt>
        <c:idx val="11"/>
        <c:spPr>
          <a:solidFill>
            <a:schemeClr val="accent6">
              <a:tint val="65000"/>
            </a:schemeClr>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13467867234299061"/>
          <c:y val="0.28398435163958935"/>
          <c:w val="0.41389654522849717"/>
          <c:h val="0.68437007874015743"/>
        </c:manualLayout>
      </c:layout>
      <c:doughnutChart>
        <c:varyColors val="1"/>
        <c:ser>
          <c:idx val="0"/>
          <c:order val="0"/>
          <c:tx>
            <c:strRef>
              <c:f>Sheet1!$K$1</c:f>
              <c:strCache>
                <c:ptCount val="1"/>
                <c:pt idx="0">
                  <c:v>Total</c:v>
                </c:pt>
              </c:strCache>
            </c:strRef>
          </c:tx>
          <c:dPt>
            <c:idx val="0"/>
            <c:bubble3D val="0"/>
            <c:spPr>
              <a:solidFill>
                <a:schemeClr val="accent6">
                  <a:shade val="65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A0B5-42D2-9C25-2850C455C23D}"/>
              </c:ext>
            </c:extLst>
          </c:dPt>
          <c:dPt>
            <c:idx val="1"/>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A0B5-42D2-9C25-2850C455C23D}"/>
              </c:ext>
            </c:extLst>
          </c:dPt>
          <c:dPt>
            <c:idx val="2"/>
            <c:bubble3D val="0"/>
            <c:spPr>
              <a:solidFill>
                <a:schemeClr val="accent6">
                  <a:tint val="65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A0B5-42D2-9C25-2850C455C23D}"/>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Sheet1!$J$2:$J$5</c:f>
              <c:strCache>
                <c:ptCount val="3"/>
                <c:pt idx="0">
                  <c:v>Card</c:v>
                </c:pt>
                <c:pt idx="1">
                  <c:v>Cash</c:v>
                </c:pt>
                <c:pt idx="2">
                  <c:v>UPI</c:v>
                </c:pt>
              </c:strCache>
            </c:strRef>
          </c:cat>
          <c:val>
            <c:numRef>
              <c:f>Sheet1!$K$2:$K$5</c:f>
              <c:numCache>
                <c:formatCode>General</c:formatCode>
                <c:ptCount val="3"/>
                <c:pt idx="0">
                  <c:v>17</c:v>
                </c:pt>
                <c:pt idx="1">
                  <c:v>10</c:v>
                </c:pt>
                <c:pt idx="2">
                  <c:v>23</c:v>
                </c:pt>
              </c:numCache>
            </c:numRef>
          </c:val>
          <c:extLst>
            <c:ext xmlns:c16="http://schemas.microsoft.com/office/drawing/2014/chart" uri="{C3380CC4-5D6E-409C-BE32-E72D297353CC}">
              <c16:uniqueId val="{00000006-A0B5-42D2-9C25-2850C455C23D}"/>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0.69856459330143539"/>
          <c:y val="0.42879069026015093"/>
          <c:w val="0.27846889952153109"/>
          <c:h val="0.39850099857978694"/>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20000"/>
        <a:lumOff val="80000"/>
      </a:schemeClr>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[UBER_DASHBOARD.xlsx]Sheet1!PivotTable6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0">
                <a:solidFill>
                  <a:schemeClr val="tx1">
                    <a:lumMod val="95000"/>
                    <a:lumOff val="5000"/>
                  </a:schemeClr>
                </a:solidFill>
              </a:rPr>
              <a:t>TRIP</a:t>
            </a:r>
            <a:r>
              <a:rPr lang="en-US" sz="1800" b="0" baseline="0">
                <a:solidFill>
                  <a:schemeClr val="tx1">
                    <a:lumMod val="95000"/>
                    <a:lumOff val="5000"/>
                  </a:schemeClr>
                </a:solidFill>
              </a:rPr>
              <a:t> TYPES</a:t>
            </a:r>
            <a:endParaRPr lang="en-US" sz="1800" b="0">
              <a:solidFill>
                <a:schemeClr val="tx1">
                  <a:lumMod val="95000"/>
                  <a:lumOff val="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w="1905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w="19050">
            <a:solidFill>
              <a:schemeClr val="lt1"/>
            </a:solidFill>
          </a:ln>
          <a:effectLst/>
          <a:sp3d contourW="25400">
            <a:contourClr>
              <a:schemeClr val="lt1"/>
            </a:contourClr>
          </a:sp3d>
        </c:spPr>
      </c:pivotFmt>
      <c:pivotFmt>
        <c:idx val="2"/>
        <c:spPr>
          <a:solidFill>
            <a:schemeClr val="accent5"/>
          </a:solidFill>
          <a:ln w="19050">
            <a:solidFill>
              <a:schemeClr val="lt1"/>
            </a:solidFill>
          </a:ln>
          <a:effectLst/>
          <a:sp3d contourW="25400">
            <a:contourClr>
              <a:schemeClr val="lt1"/>
            </a:contourClr>
          </a:sp3d>
        </c:spPr>
      </c:pivotFmt>
      <c:pivotFmt>
        <c:idx val="3"/>
        <c:spPr>
          <a:solidFill>
            <a:schemeClr val="accent5"/>
          </a:solidFill>
          <a:ln w="1905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5"/>
          </a:solidFill>
          <a:ln w="19050">
            <a:solidFill>
              <a:schemeClr val="lt1"/>
            </a:solidFill>
          </a:ln>
          <a:effectLst/>
          <a:sp3d contourW="25400">
            <a:contourClr>
              <a:schemeClr val="lt1"/>
            </a:contourClr>
          </a:sp3d>
        </c:spPr>
      </c:pivotFmt>
      <c:pivotFmt>
        <c:idx val="5"/>
        <c:spPr>
          <a:solidFill>
            <a:schemeClr val="accent5"/>
          </a:solidFill>
          <a:ln w="19050">
            <a:solidFill>
              <a:schemeClr val="lt1"/>
            </a:solidFill>
          </a:ln>
          <a:effectLst/>
          <a:sp3d contourW="25400">
            <a:contourClr>
              <a:schemeClr val="lt1"/>
            </a:contourClr>
          </a:sp3d>
        </c:spPr>
      </c:pivotFmt>
      <c:pivotFmt>
        <c:idx val="6"/>
        <c:spPr>
          <a:solidFill>
            <a:schemeClr val="accent5"/>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5">
              <a:shade val="76000"/>
            </a:schemeClr>
          </a:solidFill>
          <a:ln w="25400">
            <a:solidFill>
              <a:schemeClr val="lt1"/>
            </a:solidFill>
          </a:ln>
          <a:effectLst/>
          <a:sp3d contourW="25400">
            <a:contourClr>
              <a:schemeClr val="lt1"/>
            </a:contourClr>
          </a:sp3d>
        </c:spPr>
      </c:pivotFmt>
      <c:pivotFmt>
        <c:idx val="8"/>
        <c:spPr>
          <a:solidFill>
            <a:schemeClr val="accent5">
              <a:tint val="77000"/>
            </a:schemeClr>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2.8659160696008188E-2"/>
          <c:y val="0.35083636516141209"/>
          <c:w val="0.66427840327533261"/>
          <c:h val="0.63851117145643077"/>
        </c:manualLayout>
      </c:layout>
      <c:pie3DChart>
        <c:varyColors val="1"/>
        <c:ser>
          <c:idx val="0"/>
          <c:order val="0"/>
          <c:tx>
            <c:strRef>
              <c:f>Sheet1!$N$1</c:f>
              <c:strCache>
                <c:ptCount val="1"/>
                <c:pt idx="0">
                  <c:v>Total</c:v>
                </c:pt>
              </c:strCache>
            </c:strRef>
          </c:tx>
          <c:dPt>
            <c:idx val="0"/>
            <c:bubble3D val="0"/>
            <c:spPr>
              <a:solidFill>
                <a:schemeClr val="accent5">
                  <a:shade val="76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1-DBF4-4CF6-8E4C-2EDC36174F34}"/>
              </c:ext>
            </c:extLst>
          </c:dPt>
          <c:dPt>
            <c:idx val="1"/>
            <c:bubble3D val="0"/>
            <c:spPr>
              <a:solidFill>
                <a:schemeClr val="accent5">
                  <a:tint val="77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3-DBF4-4CF6-8E4C-2EDC36174F34}"/>
              </c:ext>
            </c:extLst>
          </c:dPt>
          <c:cat>
            <c:strRef>
              <c:f>Sheet1!$M$2:$M$4</c:f>
              <c:strCache>
                <c:ptCount val="2"/>
                <c:pt idx="0">
                  <c:v>Airport</c:v>
                </c:pt>
                <c:pt idx="1">
                  <c:v>City</c:v>
                </c:pt>
              </c:strCache>
            </c:strRef>
          </c:cat>
          <c:val>
            <c:numRef>
              <c:f>Sheet1!$N$2:$N$4</c:f>
              <c:numCache>
                <c:formatCode>General</c:formatCode>
                <c:ptCount val="2"/>
                <c:pt idx="0">
                  <c:v>8400</c:v>
                </c:pt>
                <c:pt idx="1">
                  <c:v>9642</c:v>
                </c:pt>
              </c:numCache>
            </c:numRef>
          </c:val>
          <c:extLst>
            <c:ext xmlns:c16="http://schemas.microsoft.com/office/drawing/2014/chart" uri="{C3380CC4-5D6E-409C-BE32-E72D297353CC}">
              <c16:uniqueId val="{00000004-DBF4-4CF6-8E4C-2EDC36174F34}"/>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[UBER_DASHBOARD.xlsx]Sheet1!PivotTable7</c:name>
    <c:fmtId val="4"/>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sz="1200">
                <a:solidFill>
                  <a:schemeClr val="tx1">
                    <a:lumMod val="95000"/>
                    <a:lumOff val="5000"/>
                  </a:schemeClr>
                </a:solidFill>
              </a:rPr>
              <a:t>CUSTOMER</a:t>
            </a:r>
            <a:r>
              <a:rPr lang="en-US" sz="1200" baseline="0">
                <a:solidFill>
                  <a:schemeClr val="tx1">
                    <a:lumMod val="95000"/>
                    <a:lumOff val="5000"/>
                  </a:schemeClr>
                </a:solidFill>
              </a:rPr>
              <a:t> TYPE DISTRIBUTION</a:t>
            </a:r>
            <a:endParaRPr lang="en-US" sz="1200">
              <a:solidFill>
                <a:schemeClr val="tx1">
                  <a:lumMod val="95000"/>
                  <a:lumOff val="5000"/>
                </a:schemeClr>
              </a:solidFill>
            </a:endParaRPr>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pattFill prst="narHorz">
            <a:fgClr>
              <a:schemeClr val="accent3"/>
            </a:fgClr>
            <a:bgClr>
              <a:schemeClr val="accent3">
                <a:lumMod val="20000"/>
                <a:lumOff val="80000"/>
              </a:schemeClr>
            </a:bgClr>
          </a:pattFill>
          <a:ln>
            <a:noFill/>
          </a:ln>
          <a:effectLst>
            <a:innerShdw blurRad="114300">
              <a:schemeClr val="accent3"/>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6413685114619498E-2"/>
          <c:y val="0.25612626692431728"/>
          <c:w val="0.74664625417799535"/>
          <c:h val="0.50568476299557219"/>
        </c:manualLayout>
      </c:layout>
      <c:barChart>
        <c:barDir val="col"/>
        <c:grouping val="stacked"/>
        <c:varyColors val="0"/>
        <c:ser>
          <c:idx val="0"/>
          <c:order val="0"/>
          <c:tx>
            <c:strRef>
              <c:f>Sheet1!$Q$1</c:f>
              <c:strCache>
                <c:ptCount val="1"/>
                <c:pt idx="0">
                  <c:v>Total</c:v>
                </c:pt>
              </c:strCache>
            </c:strRef>
          </c:tx>
          <c:spPr>
            <a:pattFill prst="narHorz">
              <a:fgClr>
                <a:schemeClr val="accent3"/>
              </a:fgClr>
              <a:bgClr>
                <a:schemeClr val="accent3">
                  <a:lumMod val="20000"/>
                  <a:lumOff val="80000"/>
                </a:schemeClr>
              </a:bgClr>
            </a:pattFill>
            <a:ln>
              <a:noFill/>
            </a:ln>
            <a:effectLst>
              <a:innerShdw blurRad="114300">
                <a:schemeClr val="accent3"/>
              </a:innerShdw>
            </a:effectLst>
          </c:spPr>
          <c:invertIfNegative val="0"/>
          <c:cat>
            <c:strRef>
              <c:f>Sheet1!$P$2:$P$5</c:f>
              <c:strCache>
                <c:ptCount val="3"/>
                <c:pt idx="0">
                  <c:v>New</c:v>
                </c:pt>
                <c:pt idx="1">
                  <c:v>Premium</c:v>
                </c:pt>
                <c:pt idx="2">
                  <c:v>Regular</c:v>
                </c:pt>
              </c:strCache>
            </c:strRef>
          </c:cat>
          <c:val>
            <c:numRef>
              <c:f>Sheet1!$Q$2:$Q$5</c:f>
              <c:numCache>
                <c:formatCode>General</c:formatCode>
                <c:ptCount val="3"/>
                <c:pt idx="0">
                  <c:v>13</c:v>
                </c:pt>
                <c:pt idx="1">
                  <c:v>11</c:v>
                </c:pt>
                <c:pt idx="2">
                  <c:v>26</c:v>
                </c:pt>
              </c:numCache>
            </c:numRef>
          </c:val>
          <c:extLst>
            <c:ext xmlns:c16="http://schemas.microsoft.com/office/drawing/2014/chart" uri="{C3380CC4-5D6E-409C-BE32-E72D297353CC}">
              <c16:uniqueId val="{00000000-350C-4D61-8EAF-6202A330EAEB}"/>
            </c:ext>
          </c:extLst>
        </c:ser>
        <c:dLbls>
          <c:showLegendKey val="0"/>
          <c:showVal val="0"/>
          <c:showCatName val="0"/>
          <c:showSerName val="0"/>
          <c:showPercent val="0"/>
          <c:showBubbleSize val="0"/>
        </c:dLbls>
        <c:gapWidth val="150"/>
        <c:overlap val="100"/>
        <c:axId val="1514989456"/>
        <c:axId val="1401399936"/>
      </c:barChart>
      <c:catAx>
        <c:axId val="1514989456"/>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1399936"/>
        <c:crosses val="autoZero"/>
        <c:auto val="1"/>
        <c:lblAlgn val="ctr"/>
        <c:lblOffset val="100"/>
        <c:noMultiLvlLbl val="0"/>
      </c:catAx>
      <c:valAx>
        <c:axId val="1401399936"/>
        <c:scaling>
          <c:orientation val="minMax"/>
        </c:scaling>
        <c:delete val="0"/>
        <c:axPos val="l"/>
        <c:majorGridlines>
          <c:spPr>
            <a:ln>
              <a:solidFill>
                <a:schemeClr val="tx1">
                  <a:lumMod val="15000"/>
                  <a:lumOff val="85000"/>
                </a:schemeClr>
              </a:solidFill>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49894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innerShdw blurRad="114300">
        <a:prstClr val="black"/>
      </a:inn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[UBER_DASHBOARD.xlsx]Sheet1!PivotTable8</c:name>
    <c:fmtId val="2"/>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t>VEHICLE</a:t>
            </a:r>
            <a:r>
              <a:rPr lang="en-US" baseline="0"/>
              <a:t> TYPE</a:t>
            </a:r>
            <a:endParaRPr lang="en-US"/>
          </a:p>
        </c:rich>
      </c:tx>
      <c:layout>
        <c:manualLayout>
          <c:xMode val="edge"/>
          <c:yMode val="edge"/>
          <c:x val="0.36524801601186901"/>
          <c:y val="0.10474771078051366"/>
        </c:manualLayout>
      </c:layout>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Sheet1!$T$1</c:f>
              <c:strCache>
                <c:ptCount val="1"/>
                <c:pt idx="0">
                  <c:v>Total</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Sheet1!$S$2:$S$6</c:f>
              <c:strCache>
                <c:ptCount val="4"/>
                <c:pt idx="0">
                  <c:v>Auto</c:v>
                </c:pt>
                <c:pt idx="1">
                  <c:v>Premier</c:v>
                </c:pt>
                <c:pt idx="2">
                  <c:v>UberGo</c:v>
                </c:pt>
                <c:pt idx="3">
                  <c:v>UberXL</c:v>
                </c:pt>
              </c:strCache>
            </c:strRef>
          </c:cat>
          <c:val>
            <c:numRef>
              <c:f>Sheet1!$T$2:$T$6</c:f>
              <c:numCache>
                <c:formatCode>General</c:formatCode>
                <c:ptCount val="4"/>
                <c:pt idx="0">
                  <c:v>38.5</c:v>
                </c:pt>
                <c:pt idx="1">
                  <c:v>38.799999999999997</c:v>
                </c:pt>
                <c:pt idx="2">
                  <c:v>112.89999999999999</c:v>
                </c:pt>
                <c:pt idx="3">
                  <c:v>38</c:v>
                </c:pt>
              </c:numCache>
            </c:numRef>
          </c:val>
          <c:extLst>
            <c:ext xmlns:c16="http://schemas.microsoft.com/office/drawing/2014/chart" uri="{C3380CC4-5D6E-409C-BE32-E72D297353CC}">
              <c16:uniqueId val="{00000000-1F7D-40DD-BD3A-A8200F70B697}"/>
            </c:ext>
          </c:extLst>
        </c:ser>
        <c:dLbls>
          <c:dLblPos val="ctr"/>
          <c:showLegendKey val="0"/>
          <c:showVal val="1"/>
          <c:showCatName val="0"/>
          <c:showSerName val="0"/>
          <c:showPercent val="0"/>
          <c:showBubbleSize val="0"/>
        </c:dLbls>
        <c:gapWidth val="79"/>
        <c:overlap val="100"/>
        <c:axId val="1330044144"/>
        <c:axId val="1338812608"/>
      </c:barChart>
      <c:catAx>
        <c:axId val="13300441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338812608"/>
        <c:crosses val="autoZero"/>
        <c:auto val="1"/>
        <c:lblAlgn val="ctr"/>
        <c:lblOffset val="100"/>
        <c:noMultiLvlLbl val="0"/>
      </c:catAx>
      <c:valAx>
        <c:axId val="1338812608"/>
        <c:scaling>
          <c:orientation val="minMax"/>
        </c:scaling>
        <c:delete val="1"/>
        <c:axPos val="b"/>
        <c:numFmt formatCode="General" sourceLinked="1"/>
        <c:majorTickMark val="none"/>
        <c:minorTickMark val="none"/>
        <c:tickLblPos val="nextTo"/>
        <c:crossAx val="13300441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[UBER_DASHBOARD.xlsx]Sheet1!PivotTable9</c:name>
    <c:fmtId val="2"/>
  </c:pivotSource>
  <c:chart>
    <c:title>
      <c:tx>
        <c:rich>
          <a:bodyPr rot="0" spcFirstLastPara="1" vertOverflow="ellipsis" vert="horz" wrap="square" anchor="ctr" anchorCtr="1"/>
          <a:lstStyle/>
          <a:p>
            <a:pPr>
              <a:defRPr sz="1600" b="1" i="0" u="none" strike="noStrike" kern="1200" spc="0" normalizeH="0" baseline="0">
                <a:solidFill>
                  <a:schemeClr val="dk1">
                    <a:lumMod val="50000"/>
                    <a:lumOff val="50000"/>
                  </a:schemeClr>
                </a:solidFill>
                <a:latin typeface="+mj-lt"/>
                <a:ea typeface="+mj-ea"/>
                <a:cs typeface="+mj-cs"/>
              </a:defRPr>
            </a:pPr>
            <a:r>
              <a:rPr lang="en-US"/>
              <a:t>COMPLETED</a:t>
            </a:r>
            <a:r>
              <a:rPr lang="en-US" baseline="0"/>
              <a:t> vs CANCELLED</a:t>
            </a:r>
            <a:endParaRPr lang="en-US"/>
          </a:p>
        </c:rich>
      </c:tx>
      <c:overlay val="0"/>
      <c:spPr>
        <a:noFill/>
        <a:ln>
          <a:noFill/>
        </a:ln>
        <a:effectLst/>
      </c:spPr>
      <c:txPr>
        <a:bodyPr rot="0" spcFirstLastPara="1" vertOverflow="ellipsis" vert="horz" wrap="square" anchor="ctr" anchorCtr="1"/>
        <a:lstStyle/>
        <a:p>
          <a:pPr>
            <a:defRPr sz="1600" b="1" i="0" u="none" strike="noStrike" kern="1200" spc="0" normalizeH="0" baseline="0">
              <a:solidFill>
                <a:schemeClr val="dk1">
                  <a:lumMod val="50000"/>
                  <a:lumOff val="50000"/>
                </a:schemeClr>
              </a:solidFill>
              <a:latin typeface="+mj-lt"/>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pivotFmt>
      <c:pivotFmt>
        <c:idx val="5"/>
      </c:pivotFmt>
      <c:pivotFmt>
        <c:idx val="6"/>
        <c:spPr>
          <a:gradFill>
            <a:gsLst>
              <a:gs pos="100000">
                <a:schemeClr val="accent6">
                  <a:lumMod val="60000"/>
                  <a:lumOff val="40000"/>
                </a:schemeClr>
              </a:gs>
              <a:gs pos="0">
                <a:schemeClr val="accent6"/>
              </a:gs>
            </a:gsLst>
            <a:lin ang="5400000" scaled="0"/>
          </a:gra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gradFill>
            <a:gsLst>
              <a:gs pos="100000">
                <a:schemeClr val="accent6">
                  <a:lumMod val="60000"/>
                  <a:lumOff val="40000"/>
                </a:schemeClr>
              </a:gs>
              <a:gs pos="0">
                <a:schemeClr val="accent6"/>
              </a:gs>
            </a:gsLst>
            <a:lin ang="5400000" scaled="0"/>
          </a:gradFill>
          <a:ln w="19050">
            <a:solidFill>
              <a:schemeClr val="lt1"/>
            </a:solidFill>
          </a:ln>
          <a:effectLst/>
        </c:spPr>
      </c:pivotFmt>
      <c:pivotFmt>
        <c:idx val="8"/>
        <c:spPr>
          <a:gradFill>
            <a:gsLst>
              <a:gs pos="100000">
                <a:schemeClr val="accent6">
                  <a:lumMod val="60000"/>
                  <a:lumOff val="40000"/>
                </a:schemeClr>
              </a:gs>
              <a:gs pos="0">
                <a:schemeClr val="accent6"/>
              </a:gs>
            </a:gsLst>
            <a:lin ang="5400000" scaled="0"/>
          </a:gradFill>
          <a:ln w="19050">
            <a:solidFill>
              <a:schemeClr val="lt1"/>
            </a:solidFill>
          </a:ln>
          <a:effectLst/>
        </c:spPr>
      </c:pivotFmt>
    </c:pivotFmts>
    <c:plotArea>
      <c:layout>
        <c:manualLayout>
          <c:layoutTarget val="inner"/>
          <c:xMode val="edge"/>
          <c:yMode val="edge"/>
          <c:x val="0.23380949256342956"/>
          <c:y val="0.24476633129192185"/>
          <c:w val="0.41147353455818025"/>
          <c:h val="0.68578922426363376"/>
        </c:manualLayout>
      </c:layout>
      <c:doughnutChart>
        <c:varyColors val="1"/>
        <c:ser>
          <c:idx val="0"/>
          <c:order val="0"/>
          <c:tx>
            <c:strRef>
              <c:f>Sheet1!$W$1</c:f>
              <c:strCache>
                <c:ptCount val="1"/>
                <c:pt idx="0">
                  <c:v>Total</c:v>
                </c:pt>
              </c:strCache>
            </c:strRef>
          </c:tx>
          <c:dPt>
            <c:idx val="0"/>
            <c:bubble3D val="0"/>
            <c:spPr>
              <a:gradFill>
                <a:gsLst>
                  <a:gs pos="100000">
                    <a:schemeClr val="accent6">
                      <a:lumMod val="60000"/>
                      <a:lumOff val="40000"/>
                    </a:schemeClr>
                  </a:gs>
                  <a:gs pos="0">
                    <a:schemeClr val="accent6"/>
                  </a:gs>
                </a:gsLst>
                <a:lin ang="5400000" scaled="0"/>
              </a:gradFill>
              <a:ln w="19050">
                <a:solidFill>
                  <a:schemeClr val="lt1"/>
                </a:solidFill>
              </a:ln>
              <a:effectLst/>
            </c:spPr>
            <c:extLst>
              <c:ext xmlns:c16="http://schemas.microsoft.com/office/drawing/2014/chart" uri="{C3380CC4-5D6E-409C-BE32-E72D297353CC}">
                <c16:uniqueId val="{00000001-86C1-41DA-BA8B-6D922A8CC421}"/>
              </c:ext>
            </c:extLst>
          </c:dPt>
          <c:dPt>
            <c:idx val="1"/>
            <c:bubble3D val="0"/>
            <c:spPr>
              <a:gradFill>
                <a:gsLst>
                  <a:gs pos="100000">
                    <a:schemeClr val="accent5">
                      <a:lumMod val="60000"/>
                      <a:lumOff val="40000"/>
                    </a:schemeClr>
                  </a:gs>
                  <a:gs pos="0">
                    <a:schemeClr val="accent5"/>
                  </a:gs>
                </a:gsLst>
                <a:lin ang="5400000" scaled="0"/>
              </a:gradFill>
              <a:ln w="19050">
                <a:solidFill>
                  <a:schemeClr val="lt1"/>
                </a:solidFill>
              </a:ln>
              <a:effectLst/>
            </c:spPr>
            <c:extLst>
              <c:ext xmlns:c16="http://schemas.microsoft.com/office/drawing/2014/chart" uri="{C3380CC4-5D6E-409C-BE32-E72D297353CC}">
                <c16:uniqueId val="{00000003-86C1-41DA-BA8B-6D922A8CC42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Sheet1!$V$2:$V$4</c:f>
              <c:strCache>
                <c:ptCount val="2"/>
                <c:pt idx="0">
                  <c:v>Cancelled</c:v>
                </c:pt>
                <c:pt idx="1">
                  <c:v>Completed</c:v>
                </c:pt>
              </c:strCache>
            </c:strRef>
          </c:cat>
          <c:val>
            <c:numRef>
              <c:f>Sheet1!$W$2:$W$4</c:f>
              <c:numCache>
                <c:formatCode>General</c:formatCode>
                <c:ptCount val="2"/>
                <c:pt idx="0">
                  <c:v>3</c:v>
                </c:pt>
                <c:pt idx="1">
                  <c:v>47</c:v>
                </c:pt>
              </c:numCache>
            </c:numRef>
          </c:val>
          <c:extLst>
            <c:ext xmlns:c16="http://schemas.microsoft.com/office/drawing/2014/chart" uri="{C3380CC4-5D6E-409C-BE32-E72D297353CC}">
              <c16:uniqueId val="{00000004-86C1-41DA-BA8B-6D922A8CC421}"/>
            </c:ext>
          </c:extLst>
        </c:ser>
        <c:dLbls>
          <c:showLegendKey val="0"/>
          <c:showVal val="0"/>
          <c:showCatName val="0"/>
          <c:showSerName val="0"/>
          <c:showPercent val="1"/>
          <c:showBubbleSize val="0"/>
          <c:showLeaderLines val="1"/>
        </c:dLbls>
        <c:firstSliceAng val="0"/>
        <c:holeSize val="70"/>
      </c:doughnutChart>
      <c:spPr>
        <a:noFill/>
        <a:ln>
          <a:noFill/>
        </a:ln>
        <a:effectLst/>
      </c:spPr>
    </c:plotArea>
    <c:legend>
      <c:legendPos val="r"/>
      <c:overlay val="0"/>
      <c:spPr>
        <a:solidFill>
          <a:schemeClr val="lt1">
            <a:alpha val="50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fgClr>
      <a:bgClr>
        <a:schemeClr val="dk1">
          <a:lumMod val="10000"/>
          <a:lumOff val="90000"/>
        </a:schemeClr>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withinLinear" id="16">
  <a:schemeClr val="accent3"/>
</cs:colorStyle>
</file>

<file path=xl/charts/colors10.xml><?xml version="1.0" encoding="utf-8"?>
<cs:colorStyle xmlns:cs="http://schemas.microsoft.com/office/drawing/2012/chartStyle" xmlns:a="http://schemas.openxmlformats.org/drawingml/2006/main" meth="withinLinear" id="18">
  <a:schemeClr val="accent5"/>
</cs:colorStyle>
</file>

<file path=xl/charts/colors11.xml><?xml version="1.0" encoding="utf-8"?>
<cs:colorStyle xmlns:cs="http://schemas.microsoft.com/office/drawing/2012/chartStyle" xmlns:a="http://schemas.openxmlformats.org/drawingml/2006/main" meth="withinLinear" id="19">
  <a:schemeClr val="accent6"/>
</cs:colorStyle>
</file>

<file path=xl/charts/colors12.xml><?xml version="1.0" encoding="utf-8"?>
<cs:colorStyle xmlns:cs="http://schemas.microsoft.com/office/drawing/2012/chartStyle" xmlns:a="http://schemas.openxmlformats.org/drawingml/2006/main" meth="withinLinear" id="18">
  <a:schemeClr val="accent5"/>
</cs:colorStyle>
</file>

<file path=xl/charts/colors13.xml><?xml version="1.0" encoding="utf-8"?>
<cs:colorStyle xmlns:cs="http://schemas.microsoft.com/office/drawing/2012/chartStyle" xmlns:a="http://schemas.openxmlformats.org/drawingml/2006/main" meth="withinLinear" id="16">
  <a:schemeClr val="accent3"/>
</cs:colorStyle>
</file>

<file path=xl/charts/colors14.xml><?xml version="1.0" encoding="utf-8"?>
<cs:colorStyle xmlns:cs="http://schemas.microsoft.com/office/drawing/2012/chartStyle" xmlns:a="http://schemas.openxmlformats.org/drawingml/2006/main" meth="withinLinear" id="18">
  <a:schemeClr val="accent5"/>
</cs:colorStyle>
</file>

<file path=xl/charts/colors1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99">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styleClr val="auto"/>
    </cs:lnRef>
    <cs:fillRef idx="0">
      <cs:styleClr val="auto"/>
    </cs:fillRef>
    <cs:effectRef idx="0"/>
    <cs:fontRef idx="minor">
      <a:schemeClr val="tx1"/>
    </cs:fontRef>
    <cs:spPr>
      <a:pattFill prst="ltDnDiag">
        <a:fgClr>
          <a:schemeClr val="phClr"/>
        </a:fgClr>
        <a:bgClr>
          <a:schemeClr val="phClr">
            <a:lumMod val="20000"/>
            <a:lumOff val="80000"/>
          </a:schemeClr>
        </a:bgClr>
      </a:pattFill>
      <a:ln>
        <a:solidFill>
          <a:schemeClr val="phClr"/>
        </a:solidFill>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spPr>
      <a:ln w="19050" cap="flat" cmpd="sng" algn="ctr">
        <a:solidFill>
          <a:schemeClr val="tx1">
            <a:lumMod val="25000"/>
            <a:lumOff val="75000"/>
          </a:schemeClr>
        </a:solidFill>
        <a:round/>
      </a:ln>
    </cs:spPr>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15.xml><?xml version="1.0" encoding="utf-8"?>
<cs:chartStyle xmlns:cs="http://schemas.microsoft.com/office/drawing/2012/chartStyle" xmlns:a="http://schemas.openxmlformats.org/drawingml/2006/main" id="256">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cap="none" spc="0" normalizeH="0" baseline="0"/>
  </cs:categoryAxis>
  <cs:chartArea>
    <cs:lnRef idx="0"/>
    <cs:fillRef idx="0"/>
    <cs:effectRef idx="0"/>
    <cs:fontRef idx="minor">
      <a:schemeClr val="dk1"/>
    </cs:fontRef>
    <cs:spPr>
      <a:pattFill prst="dkDnDiag">
        <a:fgClr>
          <a:schemeClr val="lt1"/>
        </a:fgClr>
        <a:bgClr>
          <a:schemeClr val="dk1">
            <a:lumMod val="10000"/>
            <a:lumOff val="90000"/>
          </a:schemeClr>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19050">
        <a:solidFill>
          <a:schemeClr val="lt1"/>
        </a:solidFill>
      </a:ln>
    </cs:spPr>
  </cs:dataPoint>
  <cs:dataPoint3D>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50800">
        <a:solidFill>
          <a:schemeClr val="lt1"/>
        </a:solidFill>
      </a:ln>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50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drawings/_rels/drawing2.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8" Type="http://schemas.openxmlformats.org/officeDocument/2006/relationships/chart" Target="../charts/chart15.xml"/><Relationship Id="rId13" Type="http://schemas.openxmlformats.org/officeDocument/2006/relationships/image" Target="../media/image10.png"/><Relationship Id="rId18" Type="http://schemas.openxmlformats.org/officeDocument/2006/relationships/image" Target="../media/image15.svg"/><Relationship Id="rId26" Type="http://schemas.openxmlformats.org/officeDocument/2006/relationships/image" Target="../media/image23.svg"/><Relationship Id="rId3" Type="http://schemas.openxmlformats.org/officeDocument/2006/relationships/chart" Target="../charts/chart10.xml"/><Relationship Id="rId21" Type="http://schemas.openxmlformats.org/officeDocument/2006/relationships/image" Target="../media/image18.png"/><Relationship Id="rId7" Type="http://schemas.openxmlformats.org/officeDocument/2006/relationships/chart" Target="../charts/chart14.xml"/><Relationship Id="rId12" Type="http://schemas.openxmlformats.org/officeDocument/2006/relationships/image" Target="../media/image9.svg"/><Relationship Id="rId17" Type="http://schemas.openxmlformats.org/officeDocument/2006/relationships/image" Target="../media/image14.png"/><Relationship Id="rId25" Type="http://schemas.openxmlformats.org/officeDocument/2006/relationships/image" Target="../media/image22.png"/><Relationship Id="rId2" Type="http://schemas.openxmlformats.org/officeDocument/2006/relationships/chart" Target="../charts/chart9.xml"/><Relationship Id="rId16" Type="http://schemas.openxmlformats.org/officeDocument/2006/relationships/image" Target="../media/image13.svg"/><Relationship Id="rId20" Type="http://schemas.openxmlformats.org/officeDocument/2006/relationships/image" Target="../media/image17.svg"/><Relationship Id="rId1" Type="http://schemas.openxmlformats.org/officeDocument/2006/relationships/image" Target="../media/image1.jpeg"/><Relationship Id="rId6" Type="http://schemas.openxmlformats.org/officeDocument/2006/relationships/chart" Target="../charts/chart13.xml"/><Relationship Id="rId11" Type="http://schemas.openxmlformats.org/officeDocument/2006/relationships/image" Target="../media/image8.png"/><Relationship Id="rId24" Type="http://schemas.openxmlformats.org/officeDocument/2006/relationships/image" Target="../media/image21.svg"/><Relationship Id="rId5" Type="http://schemas.openxmlformats.org/officeDocument/2006/relationships/chart" Target="../charts/chart12.xml"/><Relationship Id="rId15" Type="http://schemas.openxmlformats.org/officeDocument/2006/relationships/image" Target="../media/image12.png"/><Relationship Id="rId23" Type="http://schemas.openxmlformats.org/officeDocument/2006/relationships/image" Target="../media/image20.png"/><Relationship Id="rId10" Type="http://schemas.openxmlformats.org/officeDocument/2006/relationships/image" Target="../media/image7.svg"/><Relationship Id="rId19" Type="http://schemas.openxmlformats.org/officeDocument/2006/relationships/image" Target="../media/image16.png"/><Relationship Id="rId4" Type="http://schemas.openxmlformats.org/officeDocument/2006/relationships/chart" Target="../charts/chart11.xml"/><Relationship Id="rId9" Type="http://schemas.openxmlformats.org/officeDocument/2006/relationships/image" Target="../media/image6.png"/><Relationship Id="rId14" Type="http://schemas.openxmlformats.org/officeDocument/2006/relationships/image" Target="../media/image11.svg"/><Relationship Id="rId22" Type="http://schemas.openxmlformats.org/officeDocument/2006/relationships/image" Target="../media/image19.svg"/></Relationships>
</file>

<file path=xl/drawings/_rels/drawing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2" Type="http://schemas.openxmlformats.org/officeDocument/2006/relationships/image" Target="../media/image5.svg"/><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oneCellAnchor>
    <xdr:from>
      <xdr:col>0</xdr:col>
      <xdr:colOff>1276350</xdr:colOff>
      <xdr:row>3</xdr:row>
      <xdr:rowOff>158750</xdr:rowOff>
    </xdr:from>
    <xdr:ext cx="184731" cy="264560"/>
    <xdr:sp macro="" textlink="">
      <xdr:nvSpPr>
        <xdr:cNvPr id="2" name="TextBox 1">
          <a:extLst>
            <a:ext uri="{FF2B5EF4-FFF2-40B4-BE49-F238E27FC236}">
              <a16:creationId xmlns:a16="http://schemas.microsoft.com/office/drawing/2014/main" id="{6557E212-D11D-F51F-9D61-0CC444C32158}"/>
            </a:ext>
          </a:extLst>
        </xdr:cNvPr>
        <xdr:cNvSpPr txBox="1"/>
      </xdr:nvSpPr>
      <xdr:spPr>
        <a:xfrm>
          <a:off x="1276350" y="7112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wsDr>
</file>

<file path=xl/drawings/drawing2.xml><?xml version="1.0" encoding="utf-8"?>
<xdr:wsDr xmlns:xdr="http://schemas.openxmlformats.org/drawingml/2006/spreadsheetDrawing" xmlns:a="http://schemas.openxmlformats.org/drawingml/2006/main">
  <xdr:twoCellAnchor>
    <xdr:from>
      <xdr:col>0</xdr:col>
      <xdr:colOff>0</xdr:colOff>
      <xdr:row>9</xdr:row>
      <xdr:rowOff>155575</xdr:rowOff>
    </xdr:from>
    <xdr:to>
      <xdr:col>3</xdr:col>
      <xdr:colOff>596900</xdr:colOff>
      <xdr:row>20</xdr:row>
      <xdr:rowOff>171450</xdr:rowOff>
    </xdr:to>
    <xdr:graphicFrame macro="">
      <xdr:nvGraphicFramePr>
        <xdr:cNvPr id="2" name="Chart 1">
          <a:extLst>
            <a:ext uri="{FF2B5EF4-FFF2-40B4-BE49-F238E27FC236}">
              <a16:creationId xmlns:a16="http://schemas.microsoft.com/office/drawing/2014/main" id="{873EC8B6-1CB9-3CCD-163D-DE9D2456E42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9525</xdr:colOff>
      <xdr:row>11</xdr:row>
      <xdr:rowOff>174625</xdr:rowOff>
    </xdr:from>
    <xdr:to>
      <xdr:col>7</xdr:col>
      <xdr:colOff>914400</xdr:colOff>
      <xdr:row>21</xdr:row>
      <xdr:rowOff>12700</xdr:rowOff>
    </xdr:to>
    <xdr:graphicFrame macro="">
      <xdr:nvGraphicFramePr>
        <xdr:cNvPr id="3" name="Chart 2">
          <a:extLst>
            <a:ext uri="{FF2B5EF4-FFF2-40B4-BE49-F238E27FC236}">
              <a16:creationId xmlns:a16="http://schemas.microsoft.com/office/drawing/2014/main" id="{5D2B990E-C169-41DB-6072-F05A0ED1E65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701675</xdr:colOff>
      <xdr:row>6</xdr:row>
      <xdr:rowOff>38101</xdr:rowOff>
    </xdr:from>
    <xdr:to>
      <xdr:col>16</xdr:col>
      <xdr:colOff>654050</xdr:colOff>
      <xdr:row>17</xdr:row>
      <xdr:rowOff>88900</xdr:rowOff>
    </xdr:to>
    <xdr:graphicFrame macro="">
      <xdr:nvGraphicFramePr>
        <xdr:cNvPr id="5" name="Chart 4">
          <a:extLst>
            <a:ext uri="{FF2B5EF4-FFF2-40B4-BE49-F238E27FC236}">
              <a16:creationId xmlns:a16="http://schemas.microsoft.com/office/drawing/2014/main" id="{FE86570E-2808-3F3F-1AF2-EC065AE349C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866775</xdr:colOff>
      <xdr:row>6</xdr:row>
      <xdr:rowOff>155575</xdr:rowOff>
    </xdr:from>
    <xdr:to>
      <xdr:col>19</xdr:col>
      <xdr:colOff>1454150</xdr:colOff>
      <xdr:row>19</xdr:row>
      <xdr:rowOff>146050</xdr:rowOff>
    </xdr:to>
    <xdr:graphicFrame macro="">
      <xdr:nvGraphicFramePr>
        <xdr:cNvPr id="6" name="Chart 5">
          <a:extLst>
            <a:ext uri="{FF2B5EF4-FFF2-40B4-BE49-F238E27FC236}">
              <a16:creationId xmlns:a16="http://schemas.microsoft.com/office/drawing/2014/main" id="{F075B0D0-4426-033D-C1B6-AFD5FB72196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20</xdr:col>
      <xdr:colOff>365125</xdr:colOff>
      <xdr:row>6</xdr:row>
      <xdr:rowOff>149225</xdr:rowOff>
    </xdr:from>
    <xdr:to>
      <xdr:col>25</xdr:col>
      <xdr:colOff>514350</xdr:colOff>
      <xdr:row>18</xdr:row>
      <xdr:rowOff>165100</xdr:rowOff>
    </xdr:to>
    <xdr:graphicFrame macro="">
      <xdr:nvGraphicFramePr>
        <xdr:cNvPr id="7" name="Chart 6">
          <a:extLst>
            <a:ext uri="{FF2B5EF4-FFF2-40B4-BE49-F238E27FC236}">
              <a16:creationId xmlns:a16="http://schemas.microsoft.com/office/drawing/2014/main" id="{EDF1132B-9303-DBCA-45B2-4890D04576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26</xdr:col>
      <xdr:colOff>73025</xdr:colOff>
      <xdr:row>5</xdr:row>
      <xdr:rowOff>47625</xdr:rowOff>
    </xdr:from>
    <xdr:to>
      <xdr:col>31</xdr:col>
      <xdr:colOff>520700</xdr:colOff>
      <xdr:row>16</xdr:row>
      <xdr:rowOff>95250</xdr:rowOff>
    </xdr:to>
    <xdr:graphicFrame macro="">
      <xdr:nvGraphicFramePr>
        <xdr:cNvPr id="8" name="Chart 7">
          <a:extLst>
            <a:ext uri="{FF2B5EF4-FFF2-40B4-BE49-F238E27FC236}">
              <a16:creationId xmlns:a16="http://schemas.microsoft.com/office/drawing/2014/main" id="{24257AFD-98CF-A61F-5DBF-210AD2CED02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8</xdr:col>
      <xdr:colOff>41275</xdr:colOff>
      <xdr:row>6</xdr:row>
      <xdr:rowOff>28575</xdr:rowOff>
    </xdr:from>
    <xdr:to>
      <xdr:col>12</xdr:col>
      <xdr:colOff>279400</xdr:colOff>
      <xdr:row>17</xdr:row>
      <xdr:rowOff>177800</xdr:rowOff>
    </xdr:to>
    <xdr:graphicFrame macro="">
      <xdr:nvGraphicFramePr>
        <xdr:cNvPr id="9" name="Chart 8">
          <a:extLst>
            <a:ext uri="{FF2B5EF4-FFF2-40B4-BE49-F238E27FC236}">
              <a16:creationId xmlns:a16="http://schemas.microsoft.com/office/drawing/2014/main" id="{FBB5021B-404F-430B-2E23-ECE26CDB1AC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32</xdr:col>
      <xdr:colOff>123825</xdr:colOff>
      <xdr:row>3</xdr:row>
      <xdr:rowOff>136525</xdr:rowOff>
    </xdr:from>
    <xdr:to>
      <xdr:col>37</xdr:col>
      <xdr:colOff>590550</xdr:colOff>
      <xdr:row>16</xdr:row>
      <xdr:rowOff>57150</xdr:rowOff>
    </xdr:to>
    <xdr:graphicFrame macro="">
      <xdr:nvGraphicFramePr>
        <xdr:cNvPr id="10" name="Chart 9">
          <a:extLst>
            <a:ext uri="{FF2B5EF4-FFF2-40B4-BE49-F238E27FC236}">
              <a16:creationId xmlns:a16="http://schemas.microsoft.com/office/drawing/2014/main" id="{E180213F-BC79-4E73-D77C-18A66132CE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0</xdr:col>
      <xdr:colOff>146050</xdr:colOff>
      <xdr:row>21</xdr:row>
      <xdr:rowOff>146050</xdr:rowOff>
    </xdr:from>
    <xdr:to>
      <xdr:col>2</xdr:col>
      <xdr:colOff>88900</xdr:colOff>
      <xdr:row>36</xdr:row>
      <xdr:rowOff>3172</xdr:rowOff>
    </xdr:to>
    <mc:AlternateContent xmlns:mc="http://schemas.openxmlformats.org/markup-compatibility/2006" xmlns:a14="http://schemas.microsoft.com/office/drawing/2010/main">
      <mc:Choice Requires="a14">
        <xdr:graphicFrame macro="">
          <xdr:nvGraphicFramePr>
            <xdr:cNvPr id="11" name="City">
              <a:extLst>
                <a:ext uri="{FF2B5EF4-FFF2-40B4-BE49-F238E27FC236}">
                  <a16:creationId xmlns:a16="http://schemas.microsoft.com/office/drawing/2014/main" id="{816E314C-87B7-A53B-D850-C9D23BD6A337}"/>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146050" y="4013200"/>
              <a:ext cx="1828800" cy="26193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400050</xdr:colOff>
      <xdr:row>21</xdr:row>
      <xdr:rowOff>146050</xdr:rowOff>
    </xdr:from>
    <xdr:to>
      <xdr:col>6</xdr:col>
      <xdr:colOff>584200</xdr:colOff>
      <xdr:row>36</xdr:row>
      <xdr:rowOff>3172</xdr:rowOff>
    </xdr:to>
    <mc:AlternateContent xmlns:mc="http://schemas.openxmlformats.org/markup-compatibility/2006" xmlns:a14="http://schemas.microsoft.com/office/drawing/2010/main">
      <mc:Choice Requires="a14">
        <xdr:graphicFrame macro="">
          <xdr:nvGraphicFramePr>
            <xdr:cNvPr id="12" name="Vehicle_Type">
              <a:extLst>
                <a:ext uri="{FF2B5EF4-FFF2-40B4-BE49-F238E27FC236}">
                  <a16:creationId xmlns:a16="http://schemas.microsoft.com/office/drawing/2014/main" id="{52609D22-5CFA-8715-AD4E-359D519D388E}"/>
                </a:ext>
              </a:extLst>
            </xdr:cNvPr>
            <xdr:cNvGraphicFramePr/>
          </xdr:nvGraphicFramePr>
          <xdr:xfrm>
            <a:off x="0" y="0"/>
            <a:ext cx="0" cy="0"/>
          </xdr:xfrm>
          <a:graphic>
            <a:graphicData uri="http://schemas.microsoft.com/office/drawing/2010/slicer">
              <sle:slicer xmlns:sle="http://schemas.microsoft.com/office/drawing/2010/slicer" name="Vehicle_Type"/>
            </a:graphicData>
          </a:graphic>
        </xdr:graphicFrame>
      </mc:Choice>
      <mc:Fallback xmlns="">
        <xdr:sp macro="" textlink="">
          <xdr:nvSpPr>
            <xdr:cNvPr id="0" name=""/>
            <xdr:cNvSpPr>
              <a:spLocks noTextEdit="1"/>
            </xdr:cNvSpPr>
          </xdr:nvSpPr>
          <xdr:spPr>
            <a:xfrm>
              <a:off x="3765550" y="4013200"/>
              <a:ext cx="1828800" cy="26193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190500</xdr:colOff>
      <xdr:row>20</xdr:row>
      <xdr:rowOff>57150</xdr:rowOff>
    </xdr:from>
    <xdr:to>
      <xdr:col>19</xdr:col>
      <xdr:colOff>539750</xdr:colOff>
      <xdr:row>25</xdr:row>
      <xdr:rowOff>146050</xdr:rowOff>
    </xdr:to>
    <mc:AlternateContent xmlns:mc="http://schemas.openxmlformats.org/markup-compatibility/2006" xmlns:a14="http://schemas.microsoft.com/office/drawing/2010/main">
      <mc:Choice Requires="a14">
        <xdr:graphicFrame macro="">
          <xdr:nvGraphicFramePr>
            <xdr:cNvPr id="4" name="Trip_Type">
              <a:extLst>
                <a:ext uri="{FF2B5EF4-FFF2-40B4-BE49-F238E27FC236}">
                  <a16:creationId xmlns:a16="http://schemas.microsoft.com/office/drawing/2014/main" id="{9ECEAB70-7461-AB30-3D3D-54130CF10DD6}"/>
                </a:ext>
              </a:extLst>
            </xdr:cNvPr>
            <xdr:cNvGraphicFramePr/>
          </xdr:nvGraphicFramePr>
          <xdr:xfrm>
            <a:off x="0" y="0"/>
            <a:ext cx="0" cy="0"/>
          </xdr:xfrm>
          <a:graphic>
            <a:graphicData uri="http://schemas.microsoft.com/office/drawing/2010/slicer">
              <sle:slicer xmlns:sle="http://schemas.microsoft.com/office/drawing/2010/slicer" name="Trip_Type"/>
            </a:graphicData>
          </a:graphic>
        </xdr:graphicFrame>
      </mc:Choice>
      <mc:Fallback xmlns="">
        <xdr:sp macro="" textlink="">
          <xdr:nvSpPr>
            <xdr:cNvPr id="0" name=""/>
            <xdr:cNvSpPr>
              <a:spLocks noTextEdit="1"/>
            </xdr:cNvSpPr>
          </xdr:nvSpPr>
          <xdr:spPr>
            <a:xfrm>
              <a:off x="14611350" y="3740150"/>
              <a:ext cx="1828800" cy="10096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590236</xdr:colOff>
      <xdr:row>0</xdr:row>
      <xdr:rowOff>0</xdr:rowOff>
    </xdr:from>
    <xdr:to>
      <xdr:col>32</xdr:col>
      <xdr:colOff>499523</xdr:colOff>
      <xdr:row>50</xdr:row>
      <xdr:rowOff>28727</xdr:rowOff>
    </xdr:to>
    <xdr:sp macro="" textlink="">
      <xdr:nvSpPr>
        <xdr:cNvPr id="2" name="Rectangle 1">
          <a:extLst>
            <a:ext uri="{FF2B5EF4-FFF2-40B4-BE49-F238E27FC236}">
              <a16:creationId xmlns:a16="http://schemas.microsoft.com/office/drawing/2014/main" id="{8A5961F7-EB1B-9DF0-F760-2B4C7640851B}"/>
            </a:ext>
          </a:extLst>
        </xdr:cNvPr>
        <xdr:cNvSpPr/>
      </xdr:nvSpPr>
      <xdr:spPr>
        <a:xfrm>
          <a:off x="590236" y="0"/>
          <a:ext cx="19563057" cy="9397579"/>
        </a:xfrm>
        <a:prstGeom prst="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503621</xdr:colOff>
      <xdr:row>0</xdr:row>
      <xdr:rowOff>133350</xdr:rowOff>
    </xdr:from>
    <xdr:to>
      <xdr:col>25</xdr:col>
      <xdr:colOff>26458</xdr:colOff>
      <xdr:row>4</xdr:row>
      <xdr:rowOff>97014</xdr:rowOff>
    </xdr:to>
    <xdr:sp macro="" textlink="">
      <xdr:nvSpPr>
        <xdr:cNvPr id="3" name="TextBox 2">
          <a:extLst>
            <a:ext uri="{FF2B5EF4-FFF2-40B4-BE49-F238E27FC236}">
              <a16:creationId xmlns:a16="http://schemas.microsoft.com/office/drawing/2014/main" id="{5BB942B6-EFD5-6787-92D5-18BDC3B770D4}"/>
            </a:ext>
          </a:extLst>
        </xdr:cNvPr>
        <xdr:cNvSpPr txBox="1"/>
      </xdr:nvSpPr>
      <xdr:spPr>
        <a:xfrm>
          <a:off x="3569138" y="133350"/>
          <a:ext cx="11784906" cy="708147"/>
        </a:xfrm>
        <a:prstGeom prst="rect">
          <a:avLst/>
        </a:prstGeom>
        <a:blipFill>
          <a:blip xmlns:r="http://schemas.openxmlformats.org/officeDocument/2006/relationships" r:embed="rId1"/>
          <a:tile tx="0" ty="0" sx="100000" sy="100000" flip="none" algn="tl"/>
        </a:blipFill>
        <a:ln w="9525" cmpd="sng">
          <a:solidFill>
            <a:schemeClr val="lt1">
              <a:shade val="50000"/>
            </a:schemeClr>
          </a:solidFill>
        </a:ln>
        <a:effectLst>
          <a:outerShdw blurRad="63500" sx="102000" sy="102000" algn="ctr"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000" b="1">
              <a:solidFill>
                <a:schemeClr val="tx1">
                  <a:lumMod val="85000"/>
                  <a:lumOff val="15000"/>
                </a:schemeClr>
              </a:solidFill>
            </a:rPr>
            <a:t>UBER DASHBOARD</a:t>
          </a:r>
        </a:p>
      </xdr:txBody>
    </xdr:sp>
    <xdr:clientData/>
  </xdr:twoCellAnchor>
  <xdr:twoCellAnchor>
    <xdr:from>
      <xdr:col>1</xdr:col>
      <xdr:colOff>131948</xdr:colOff>
      <xdr:row>5</xdr:row>
      <xdr:rowOff>38100</xdr:rowOff>
    </xdr:from>
    <xdr:to>
      <xdr:col>5</xdr:col>
      <xdr:colOff>486558</xdr:colOff>
      <xdr:row>9</xdr:row>
      <xdr:rowOff>105833</xdr:rowOff>
    </xdr:to>
    <xdr:sp macro="" textlink="">
      <xdr:nvSpPr>
        <xdr:cNvPr id="4" name="TextBox 3">
          <a:extLst>
            <a:ext uri="{FF2B5EF4-FFF2-40B4-BE49-F238E27FC236}">
              <a16:creationId xmlns:a16="http://schemas.microsoft.com/office/drawing/2014/main" id="{3C9F969C-231D-5D92-A3DE-9FC1E0C7E479}"/>
            </a:ext>
          </a:extLst>
        </xdr:cNvPr>
        <xdr:cNvSpPr txBox="1"/>
      </xdr:nvSpPr>
      <xdr:spPr>
        <a:xfrm>
          <a:off x="745781" y="937683"/>
          <a:ext cx="2809944" cy="787400"/>
        </a:xfrm>
        <a:prstGeom prst="rect">
          <a:avLst/>
        </a:prstGeom>
        <a:solidFill>
          <a:schemeClr val="accent5">
            <a:lumMod val="20000"/>
            <a:lumOff val="80000"/>
          </a:schemeClr>
        </a:solidFill>
        <a:ln w="9525" cmpd="sng">
          <a:solidFill>
            <a:schemeClr val="tx1">
              <a:lumMod val="85000"/>
              <a:lumOff val="1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i="0" u="none" strike="noStrike">
              <a:solidFill>
                <a:schemeClr val="tx1">
                  <a:lumMod val="85000"/>
                  <a:lumOff val="15000"/>
                </a:schemeClr>
              </a:solidFill>
              <a:effectLst/>
              <a:latin typeface="+mn-lt"/>
              <a:ea typeface="+mn-ea"/>
              <a:cs typeface="+mn-cs"/>
            </a:rPr>
            <a:t>Total Rides</a:t>
          </a:r>
          <a:r>
            <a:rPr lang="en-IN" sz="1400" b="1">
              <a:solidFill>
                <a:schemeClr val="tx1">
                  <a:lumMod val="85000"/>
                  <a:lumOff val="15000"/>
                </a:schemeClr>
              </a:solidFill>
              <a:effectLst/>
            </a:rPr>
            <a:t> -50</a:t>
          </a:r>
          <a:endParaRPr lang="en-IN" sz="1400" b="1">
            <a:solidFill>
              <a:schemeClr val="tx1">
                <a:lumMod val="85000"/>
                <a:lumOff val="15000"/>
              </a:schemeClr>
            </a:solidFill>
          </a:endParaRPr>
        </a:p>
      </xdr:txBody>
    </xdr:sp>
    <xdr:clientData/>
  </xdr:twoCellAnchor>
  <xdr:twoCellAnchor>
    <xdr:from>
      <xdr:col>6</xdr:col>
      <xdr:colOff>437078</xdr:colOff>
      <xdr:row>5</xdr:row>
      <xdr:rowOff>38099</xdr:rowOff>
    </xdr:from>
    <xdr:to>
      <xdr:col>11</xdr:col>
      <xdr:colOff>140195</xdr:colOff>
      <xdr:row>9</xdr:row>
      <xdr:rowOff>95249</xdr:rowOff>
    </xdr:to>
    <xdr:sp macro="" textlink="">
      <xdr:nvSpPr>
        <xdr:cNvPr id="6" name="TextBox 5">
          <a:extLst>
            <a:ext uri="{FF2B5EF4-FFF2-40B4-BE49-F238E27FC236}">
              <a16:creationId xmlns:a16="http://schemas.microsoft.com/office/drawing/2014/main" id="{69C06FCD-3120-9653-8CD7-5DAF6B03907A}"/>
            </a:ext>
          </a:extLst>
        </xdr:cNvPr>
        <xdr:cNvSpPr txBox="1"/>
      </xdr:nvSpPr>
      <xdr:spPr>
        <a:xfrm>
          <a:off x="4120078" y="937682"/>
          <a:ext cx="2772284" cy="776817"/>
        </a:xfrm>
        <a:prstGeom prst="rect">
          <a:avLst/>
        </a:prstGeom>
        <a:solidFill>
          <a:schemeClr val="accent2">
            <a:lumMod val="20000"/>
            <a:lumOff val="80000"/>
          </a:schemeClr>
        </a:solidFill>
        <a:ln w="9525" cmpd="sng">
          <a:solidFill>
            <a:schemeClr val="tx1">
              <a:lumMod val="85000"/>
              <a:lumOff val="1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i="0" u="none" strike="noStrike">
              <a:solidFill>
                <a:schemeClr val="dk1"/>
              </a:solidFill>
              <a:effectLst/>
              <a:latin typeface="+mn-lt"/>
              <a:ea typeface="+mn-ea"/>
              <a:cs typeface="+mn-cs"/>
            </a:rPr>
            <a:t>Completed Rides</a:t>
          </a:r>
          <a:r>
            <a:rPr lang="en-IN" sz="1400" b="1">
              <a:effectLst/>
            </a:rPr>
            <a:t> -</a:t>
          </a:r>
          <a:r>
            <a:rPr lang="en-IN" sz="1400" b="1" i="0" u="none" strike="noStrike">
              <a:solidFill>
                <a:schemeClr val="dk1"/>
              </a:solidFill>
              <a:effectLst/>
              <a:latin typeface="+mn-lt"/>
              <a:ea typeface="+mn-ea"/>
              <a:cs typeface="+mn-cs"/>
            </a:rPr>
            <a:t>47</a:t>
          </a:r>
          <a:r>
            <a:rPr lang="en-IN" sz="1400" b="1">
              <a:effectLst/>
            </a:rPr>
            <a:t> </a:t>
          </a:r>
          <a:endParaRPr lang="en-IN" sz="1400" b="1"/>
        </a:p>
      </xdr:txBody>
    </xdr:sp>
    <xdr:clientData/>
  </xdr:twoCellAnchor>
  <xdr:twoCellAnchor>
    <xdr:from>
      <xdr:col>11</xdr:col>
      <xdr:colOff>610259</xdr:colOff>
      <xdr:row>5</xdr:row>
      <xdr:rowOff>38100</xdr:rowOff>
    </xdr:from>
    <xdr:to>
      <xdr:col>16</xdr:col>
      <xdr:colOff>395843</xdr:colOff>
      <xdr:row>9</xdr:row>
      <xdr:rowOff>105833</xdr:rowOff>
    </xdr:to>
    <xdr:sp macro="" textlink="">
      <xdr:nvSpPr>
        <xdr:cNvPr id="8" name="TextBox 7">
          <a:extLst>
            <a:ext uri="{FF2B5EF4-FFF2-40B4-BE49-F238E27FC236}">
              <a16:creationId xmlns:a16="http://schemas.microsoft.com/office/drawing/2014/main" id="{5F916D31-0014-43CD-C97E-3DE9D70DDD16}"/>
            </a:ext>
          </a:extLst>
        </xdr:cNvPr>
        <xdr:cNvSpPr txBox="1"/>
      </xdr:nvSpPr>
      <xdr:spPr>
        <a:xfrm>
          <a:off x="7362426" y="937683"/>
          <a:ext cx="2854750" cy="787400"/>
        </a:xfrm>
        <a:prstGeom prst="rect">
          <a:avLst/>
        </a:prstGeom>
        <a:solidFill>
          <a:schemeClr val="accent3">
            <a:lumMod val="20000"/>
            <a:lumOff val="80000"/>
          </a:schemeClr>
        </a:solidFill>
        <a:ln w="9525" cmpd="sng">
          <a:solidFill>
            <a:schemeClr val="tx1">
              <a:lumMod val="85000"/>
              <a:lumOff val="1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i="0" u="none" strike="noStrike">
              <a:solidFill>
                <a:schemeClr val="dk1"/>
              </a:solidFill>
              <a:effectLst/>
              <a:latin typeface="+mn-lt"/>
              <a:ea typeface="+mn-ea"/>
              <a:cs typeface="+mn-cs"/>
            </a:rPr>
            <a:t>Total Revenue</a:t>
          </a:r>
          <a:r>
            <a:rPr lang="en-IN" sz="1400" b="1">
              <a:effectLst/>
            </a:rPr>
            <a:t> -</a:t>
          </a:r>
          <a:r>
            <a:rPr lang="en-IN" sz="1400" b="1" i="0" u="none" strike="noStrike">
              <a:solidFill>
                <a:schemeClr val="dk1"/>
              </a:solidFill>
              <a:effectLst/>
              <a:latin typeface="+mn-lt"/>
              <a:ea typeface="+mn-ea"/>
              <a:cs typeface="+mn-cs"/>
            </a:rPr>
            <a:t>18042</a:t>
          </a:r>
          <a:r>
            <a:rPr lang="en-IN" sz="1400" b="1">
              <a:effectLst/>
            </a:rPr>
            <a:t> </a:t>
          </a:r>
          <a:endParaRPr lang="en-IN" sz="1400" b="1"/>
        </a:p>
      </xdr:txBody>
    </xdr:sp>
    <xdr:clientData/>
  </xdr:twoCellAnchor>
  <xdr:twoCellAnchor>
    <xdr:from>
      <xdr:col>17</xdr:col>
      <xdr:colOff>372240</xdr:colOff>
      <xdr:row>5</xdr:row>
      <xdr:rowOff>25399</xdr:rowOff>
    </xdr:from>
    <xdr:to>
      <xdr:col>22</xdr:col>
      <xdr:colOff>350344</xdr:colOff>
      <xdr:row>9</xdr:row>
      <xdr:rowOff>126999</xdr:rowOff>
    </xdr:to>
    <xdr:sp macro="" textlink="">
      <xdr:nvSpPr>
        <xdr:cNvPr id="5" name="TextBox 4">
          <a:extLst>
            <a:ext uri="{FF2B5EF4-FFF2-40B4-BE49-F238E27FC236}">
              <a16:creationId xmlns:a16="http://schemas.microsoft.com/office/drawing/2014/main" id="{35505336-12DB-7E48-7F58-7DE37EF30B64}"/>
            </a:ext>
          </a:extLst>
        </xdr:cNvPr>
        <xdr:cNvSpPr txBox="1"/>
      </xdr:nvSpPr>
      <xdr:spPr>
        <a:xfrm>
          <a:off x="10807407" y="924982"/>
          <a:ext cx="3047270" cy="821267"/>
        </a:xfrm>
        <a:prstGeom prst="rect">
          <a:avLst/>
        </a:prstGeom>
        <a:solidFill>
          <a:srgbClr val="E0D68C"/>
        </a:solidFill>
        <a:ln w="9525" cmpd="sng">
          <a:solidFill>
            <a:schemeClr val="bg2">
              <a:lumMod val="2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400" b="1" i="0" u="none" strike="noStrike">
              <a:solidFill>
                <a:schemeClr val="dk1"/>
              </a:solidFill>
              <a:effectLst/>
              <a:latin typeface="+mn-lt"/>
              <a:ea typeface="+mn-ea"/>
              <a:cs typeface="+mn-cs"/>
            </a:rPr>
            <a:t>Average Fare -360.84</a:t>
          </a:r>
          <a:r>
            <a:rPr lang="en-IN" sz="1400" b="1">
              <a:effectLst/>
            </a:rPr>
            <a:t> </a:t>
          </a:r>
          <a:endParaRPr lang="en-IN" sz="1400" b="1" i="0" u="none" strike="noStrike">
            <a:solidFill>
              <a:schemeClr val="dk1"/>
            </a:solidFill>
            <a:effectLst/>
            <a:latin typeface="+mn-lt"/>
            <a:ea typeface="+mn-ea"/>
            <a:cs typeface="+mn-cs"/>
          </a:endParaRPr>
        </a:p>
        <a:p>
          <a:endParaRPr lang="en-IN" sz="1100"/>
        </a:p>
      </xdr:txBody>
    </xdr:sp>
    <xdr:clientData/>
  </xdr:twoCellAnchor>
  <xdr:twoCellAnchor>
    <xdr:from>
      <xdr:col>23</xdr:col>
      <xdr:colOff>416034</xdr:colOff>
      <xdr:row>5</xdr:row>
      <xdr:rowOff>12700</xdr:rowOff>
    </xdr:from>
    <xdr:to>
      <xdr:col>28</xdr:col>
      <xdr:colOff>339395</xdr:colOff>
      <xdr:row>9</xdr:row>
      <xdr:rowOff>105833</xdr:rowOff>
    </xdr:to>
    <xdr:sp macro="" textlink="">
      <xdr:nvSpPr>
        <xdr:cNvPr id="7" name="TextBox 6">
          <a:extLst>
            <a:ext uri="{FF2B5EF4-FFF2-40B4-BE49-F238E27FC236}">
              <a16:creationId xmlns:a16="http://schemas.microsoft.com/office/drawing/2014/main" id="{64821D58-B5BB-4F4E-30AB-ECC70C8A4B8E}"/>
            </a:ext>
          </a:extLst>
        </xdr:cNvPr>
        <xdr:cNvSpPr txBox="1"/>
      </xdr:nvSpPr>
      <xdr:spPr>
        <a:xfrm>
          <a:off x="14534201" y="912283"/>
          <a:ext cx="2992527" cy="812800"/>
        </a:xfrm>
        <a:prstGeom prst="rect">
          <a:avLst/>
        </a:prstGeom>
        <a:solidFill>
          <a:schemeClr val="accent1">
            <a:lumMod val="20000"/>
            <a:lumOff val="80000"/>
          </a:schemeClr>
        </a:solidFill>
        <a:ln w="9525" cmpd="sng">
          <a:solidFill>
            <a:schemeClr val="tx1">
              <a:lumMod val="85000"/>
              <a:lumOff val="1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i="0" u="none" strike="noStrike">
              <a:solidFill>
                <a:schemeClr val="dk1"/>
              </a:solidFill>
              <a:effectLst/>
              <a:latin typeface="+mn-lt"/>
              <a:ea typeface="+mn-ea"/>
              <a:cs typeface="+mn-cs"/>
            </a:rPr>
            <a:t>Average Customer Rating</a:t>
          </a:r>
          <a:r>
            <a:rPr lang="en-IN" sz="1400" b="1">
              <a:effectLst/>
            </a:rPr>
            <a:t> -</a:t>
          </a:r>
          <a:r>
            <a:rPr lang="en-IN" sz="1400" b="1" i="0" u="none" strike="noStrike">
              <a:solidFill>
                <a:schemeClr val="dk1"/>
              </a:solidFill>
              <a:effectLst/>
              <a:latin typeface="+mn-lt"/>
              <a:ea typeface="+mn-ea"/>
              <a:cs typeface="+mn-cs"/>
            </a:rPr>
            <a:t>4.564</a:t>
          </a:r>
          <a:r>
            <a:rPr lang="en-IN" sz="1400" b="1">
              <a:effectLst/>
            </a:rPr>
            <a:t> </a:t>
          </a:r>
          <a:endParaRPr lang="en-IN" sz="1400" b="1"/>
        </a:p>
      </xdr:txBody>
    </xdr:sp>
    <xdr:clientData/>
  </xdr:twoCellAnchor>
  <xdr:twoCellAnchor>
    <xdr:from>
      <xdr:col>1</xdr:col>
      <xdr:colOff>266642</xdr:colOff>
      <xdr:row>11</xdr:row>
      <xdr:rowOff>136544</xdr:rowOff>
    </xdr:from>
    <xdr:to>
      <xdr:col>8</xdr:col>
      <xdr:colOff>572540</xdr:colOff>
      <xdr:row>27</xdr:row>
      <xdr:rowOff>44417</xdr:rowOff>
    </xdr:to>
    <xdr:graphicFrame macro="">
      <xdr:nvGraphicFramePr>
        <xdr:cNvPr id="9" name="Chart 8">
          <a:extLst>
            <a:ext uri="{FF2B5EF4-FFF2-40B4-BE49-F238E27FC236}">
              <a16:creationId xmlns:a16="http://schemas.microsoft.com/office/drawing/2014/main" id="{C2F2ED92-6264-4B4B-9B1C-3D3EE4E6FB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260246</xdr:colOff>
      <xdr:row>11</xdr:row>
      <xdr:rowOff>126480</xdr:rowOff>
    </xdr:from>
    <xdr:to>
      <xdr:col>18</xdr:col>
      <xdr:colOff>176967</xdr:colOff>
      <xdr:row>26</xdr:row>
      <xdr:rowOff>143249</xdr:rowOff>
    </xdr:to>
    <xdr:graphicFrame macro="">
      <xdr:nvGraphicFramePr>
        <xdr:cNvPr id="11" name="Chart 10">
          <a:extLst>
            <a:ext uri="{FF2B5EF4-FFF2-40B4-BE49-F238E27FC236}">
              <a16:creationId xmlns:a16="http://schemas.microsoft.com/office/drawing/2014/main" id="{96EAB246-0A10-4D91-991D-353624DFB3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19</xdr:col>
      <xdr:colOff>416394</xdr:colOff>
      <xdr:row>11</xdr:row>
      <xdr:rowOff>85708</xdr:rowOff>
    </xdr:from>
    <xdr:to>
      <xdr:col>28</xdr:col>
      <xdr:colOff>381514</xdr:colOff>
      <xdr:row>26</xdr:row>
      <xdr:rowOff>135328</xdr:rowOff>
    </xdr:to>
    <xdr:graphicFrame macro="">
      <xdr:nvGraphicFramePr>
        <xdr:cNvPr id="12" name="Chart 11">
          <a:extLst>
            <a:ext uri="{FF2B5EF4-FFF2-40B4-BE49-F238E27FC236}">
              <a16:creationId xmlns:a16="http://schemas.microsoft.com/office/drawing/2014/main" id="{46CF0261-6F28-4442-874E-0468A19651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222285</xdr:colOff>
      <xdr:row>30</xdr:row>
      <xdr:rowOff>53264</xdr:rowOff>
    </xdr:from>
    <xdr:to>
      <xdr:col>7</xdr:col>
      <xdr:colOff>82887</xdr:colOff>
      <xdr:row>48</xdr:row>
      <xdr:rowOff>9830</xdr:rowOff>
    </xdr:to>
    <xdr:graphicFrame macro="">
      <xdr:nvGraphicFramePr>
        <xdr:cNvPr id="13" name="Chart 12">
          <a:extLst>
            <a:ext uri="{FF2B5EF4-FFF2-40B4-BE49-F238E27FC236}">
              <a16:creationId xmlns:a16="http://schemas.microsoft.com/office/drawing/2014/main" id="{75A97CE3-C8F7-4727-899C-4218E6E2C8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488352</xdr:colOff>
      <xdr:row>30</xdr:row>
      <xdr:rowOff>104792</xdr:rowOff>
    </xdr:from>
    <xdr:to>
      <xdr:col>14</xdr:col>
      <xdr:colOff>1910</xdr:colOff>
      <xdr:row>48</xdr:row>
      <xdr:rowOff>26822</xdr:rowOff>
    </xdr:to>
    <xdr:graphicFrame macro="">
      <xdr:nvGraphicFramePr>
        <xdr:cNvPr id="15" name="Chart 14">
          <a:extLst>
            <a:ext uri="{FF2B5EF4-FFF2-40B4-BE49-F238E27FC236}">
              <a16:creationId xmlns:a16="http://schemas.microsoft.com/office/drawing/2014/main" id="{9AF9786F-6890-4F1C-894A-70CB453737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14</xdr:col>
      <xdr:colOff>454876</xdr:colOff>
      <xdr:row>30</xdr:row>
      <xdr:rowOff>83452</xdr:rowOff>
    </xdr:from>
    <xdr:to>
      <xdr:col>21</xdr:col>
      <xdr:colOff>156646</xdr:colOff>
      <xdr:row>47</xdr:row>
      <xdr:rowOff>144891</xdr:rowOff>
    </xdr:to>
    <xdr:graphicFrame macro="">
      <xdr:nvGraphicFramePr>
        <xdr:cNvPr id="16" name="Chart 15">
          <a:extLst>
            <a:ext uri="{FF2B5EF4-FFF2-40B4-BE49-F238E27FC236}">
              <a16:creationId xmlns:a16="http://schemas.microsoft.com/office/drawing/2014/main" id="{93E4EBE1-870A-49D7-8DAD-DC7934F406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21</xdr:col>
      <xdr:colOff>549651</xdr:colOff>
      <xdr:row>30</xdr:row>
      <xdr:rowOff>52918</xdr:rowOff>
    </xdr:from>
    <xdr:to>
      <xdr:col>28</xdr:col>
      <xdr:colOff>504013</xdr:colOff>
      <xdr:row>47</xdr:row>
      <xdr:rowOff>58827</xdr:rowOff>
    </xdr:to>
    <xdr:graphicFrame macro="">
      <xdr:nvGraphicFramePr>
        <xdr:cNvPr id="17" name="Chart 16">
          <a:extLst>
            <a:ext uri="{FF2B5EF4-FFF2-40B4-BE49-F238E27FC236}">
              <a16:creationId xmlns:a16="http://schemas.microsoft.com/office/drawing/2014/main" id="{17E1B86C-EDF9-40C2-8D8F-185ACEE62F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29</xdr:col>
      <xdr:colOff>61530</xdr:colOff>
      <xdr:row>5</xdr:row>
      <xdr:rowOff>40947</xdr:rowOff>
    </xdr:from>
    <xdr:to>
      <xdr:col>32</xdr:col>
      <xdr:colOff>61530</xdr:colOff>
      <xdr:row>20</xdr:row>
      <xdr:rowOff>0</xdr:rowOff>
    </xdr:to>
    <mc:AlternateContent xmlns:mc="http://schemas.openxmlformats.org/markup-compatibility/2006" xmlns:a14="http://schemas.microsoft.com/office/drawing/2010/main">
      <mc:Choice Requires="a14">
        <xdr:graphicFrame macro="">
          <xdr:nvGraphicFramePr>
            <xdr:cNvPr id="18" name="City 1">
              <a:extLst>
                <a:ext uri="{FF2B5EF4-FFF2-40B4-BE49-F238E27FC236}">
                  <a16:creationId xmlns:a16="http://schemas.microsoft.com/office/drawing/2014/main" id="{71FA1F8C-B5DA-46C9-939D-B730F8441AD3}"/>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mlns="">
        <xdr:sp macro="" textlink="">
          <xdr:nvSpPr>
            <xdr:cNvPr id="0" name=""/>
            <xdr:cNvSpPr>
              <a:spLocks noTextEdit="1"/>
            </xdr:cNvSpPr>
          </xdr:nvSpPr>
          <xdr:spPr>
            <a:xfrm>
              <a:off x="17862697" y="940530"/>
              <a:ext cx="1841500" cy="265780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29</xdr:col>
      <xdr:colOff>12919</xdr:colOff>
      <xdr:row>22</xdr:row>
      <xdr:rowOff>63500</xdr:rowOff>
    </xdr:from>
    <xdr:to>
      <xdr:col>32</xdr:col>
      <xdr:colOff>99234</xdr:colOff>
      <xdr:row>34</xdr:row>
      <xdr:rowOff>21166</xdr:rowOff>
    </xdr:to>
    <mc:AlternateContent xmlns:mc="http://schemas.openxmlformats.org/markup-compatibility/2006" xmlns:a14="http://schemas.microsoft.com/office/drawing/2010/main">
      <mc:Choice Requires="a14">
        <xdr:graphicFrame macro="">
          <xdr:nvGraphicFramePr>
            <xdr:cNvPr id="19" name="Vehicle_Type 1">
              <a:extLst>
                <a:ext uri="{FF2B5EF4-FFF2-40B4-BE49-F238E27FC236}">
                  <a16:creationId xmlns:a16="http://schemas.microsoft.com/office/drawing/2014/main" id="{071B3CF0-03F7-412A-B040-1FA2F4510634}"/>
                </a:ext>
              </a:extLst>
            </xdr:cNvPr>
            <xdr:cNvGraphicFramePr/>
          </xdr:nvGraphicFramePr>
          <xdr:xfrm>
            <a:off x="0" y="0"/>
            <a:ext cx="0" cy="0"/>
          </xdr:xfrm>
          <a:graphic>
            <a:graphicData uri="http://schemas.microsoft.com/office/drawing/2010/slicer">
              <sle:slicer xmlns:sle="http://schemas.microsoft.com/office/drawing/2010/slicer" name="Vehicle_Type 1"/>
            </a:graphicData>
          </a:graphic>
        </xdr:graphicFrame>
      </mc:Choice>
      <mc:Fallback xmlns="">
        <xdr:sp macro="" textlink="">
          <xdr:nvSpPr>
            <xdr:cNvPr id="0" name=""/>
            <xdr:cNvSpPr>
              <a:spLocks noTextEdit="1"/>
            </xdr:cNvSpPr>
          </xdr:nvSpPr>
          <xdr:spPr>
            <a:xfrm>
              <a:off x="17814086" y="4021667"/>
              <a:ext cx="1927815" cy="211666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29</xdr:col>
      <xdr:colOff>50143</xdr:colOff>
      <xdr:row>37</xdr:row>
      <xdr:rowOff>52916</xdr:rowOff>
    </xdr:from>
    <xdr:to>
      <xdr:col>32</xdr:col>
      <xdr:colOff>50143</xdr:colOff>
      <xdr:row>47</xdr:row>
      <xdr:rowOff>42334</xdr:rowOff>
    </xdr:to>
    <mc:AlternateContent xmlns:mc="http://schemas.openxmlformats.org/markup-compatibility/2006" xmlns:a14="http://schemas.microsoft.com/office/drawing/2010/main">
      <mc:Choice Requires="a14">
        <xdr:graphicFrame macro="">
          <xdr:nvGraphicFramePr>
            <xdr:cNvPr id="20" name="Trip_Type 1">
              <a:extLst>
                <a:ext uri="{FF2B5EF4-FFF2-40B4-BE49-F238E27FC236}">
                  <a16:creationId xmlns:a16="http://schemas.microsoft.com/office/drawing/2014/main" id="{701E962D-1404-4262-BB54-ED1AAB5403E6}"/>
                </a:ext>
              </a:extLst>
            </xdr:cNvPr>
            <xdr:cNvGraphicFramePr/>
          </xdr:nvGraphicFramePr>
          <xdr:xfrm>
            <a:off x="0" y="0"/>
            <a:ext cx="0" cy="0"/>
          </xdr:xfrm>
          <a:graphic>
            <a:graphicData uri="http://schemas.microsoft.com/office/drawing/2010/slicer">
              <sle:slicer xmlns:sle="http://schemas.microsoft.com/office/drawing/2010/slicer" name="Trip_Type 1"/>
            </a:graphicData>
          </a:graphic>
        </xdr:graphicFrame>
      </mc:Choice>
      <mc:Fallback xmlns="">
        <xdr:sp macro="" textlink="">
          <xdr:nvSpPr>
            <xdr:cNvPr id="0" name=""/>
            <xdr:cNvSpPr>
              <a:spLocks noTextEdit="1"/>
            </xdr:cNvSpPr>
          </xdr:nvSpPr>
          <xdr:spPr>
            <a:xfrm>
              <a:off x="17851310" y="6709833"/>
              <a:ext cx="1841500" cy="178858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131135</xdr:colOff>
      <xdr:row>0</xdr:row>
      <xdr:rowOff>36251</xdr:rowOff>
    </xdr:from>
    <xdr:to>
      <xdr:col>13</xdr:col>
      <xdr:colOff>438756</xdr:colOff>
      <xdr:row>4</xdr:row>
      <xdr:rowOff>973</xdr:rowOff>
    </xdr:to>
    <xdr:pic>
      <xdr:nvPicPr>
        <xdr:cNvPr id="23" name="Graphic 22" descr="Car with solid fill">
          <a:extLst>
            <a:ext uri="{FF2B5EF4-FFF2-40B4-BE49-F238E27FC236}">
              <a16:creationId xmlns:a16="http://schemas.microsoft.com/office/drawing/2014/main" id="{9D98C301-1D09-EE98-E5E0-37F01DCDCAF0}"/>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7488376" y="36251"/>
          <a:ext cx="920725" cy="709205"/>
        </a:xfrm>
        <a:prstGeom prst="rect">
          <a:avLst/>
        </a:prstGeom>
      </xdr:spPr>
    </xdr:pic>
    <xdr:clientData/>
  </xdr:twoCellAnchor>
  <xdr:twoCellAnchor editAs="oneCell">
    <xdr:from>
      <xdr:col>3</xdr:col>
      <xdr:colOff>62629</xdr:colOff>
      <xdr:row>6</xdr:row>
      <xdr:rowOff>54551</xdr:rowOff>
    </xdr:from>
    <xdr:to>
      <xdr:col>3</xdr:col>
      <xdr:colOff>592667</xdr:colOff>
      <xdr:row>9</xdr:row>
      <xdr:rowOff>31750</xdr:rowOff>
    </xdr:to>
    <xdr:pic>
      <xdr:nvPicPr>
        <xdr:cNvPr id="25" name="Graphic 24" descr="Taxi with solid fill">
          <a:extLst>
            <a:ext uri="{FF2B5EF4-FFF2-40B4-BE49-F238E27FC236}">
              <a16:creationId xmlns:a16="http://schemas.microsoft.com/office/drawing/2014/main" id="{5183F6DB-B8BA-15E7-EC2B-21B4EB7C2C1E}"/>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1904129" y="1134051"/>
          <a:ext cx="530038" cy="516949"/>
        </a:xfrm>
        <a:prstGeom prst="rect">
          <a:avLst/>
        </a:prstGeom>
      </xdr:spPr>
    </xdr:pic>
    <xdr:clientData/>
  </xdr:twoCellAnchor>
  <xdr:twoCellAnchor editAs="oneCell">
    <xdr:from>
      <xdr:col>8</xdr:col>
      <xdr:colOff>281294</xdr:colOff>
      <xdr:row>6</xdr:row>
      <xdr:rowOff>96363</xdr:rowOff>
    </xdr:from>
    <xdr:to>
      <xdr:col>9</xdr:col>
      <xdr:colOff>329903</xdr:colOff>
      <xdr:row>9</xdr:row>
      <xdr:rowOff>74083</xdr:rowOff>
    </xdr:to>
    <xdr:pic>
      <xdr:nvPicPr>
        <xdr:cNvPr id="27" name="Graphic 26" descr="Taxi outline">
          <a:extLst>
            <a:ext uri="{FF2B5EF4-FFF2-40B4-BE49-F238E27FC236}">
              <a16:creationId xmlns:a16="http://schemas.microsoft.com/office/drawing/2014/main" id="{894F710F-E0A8-BD96-9747-0F25DFE47636}"/>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5191961" y="1175863"/>
          <a:ext cx="662442" cy="517470"/>
        </a:xfrm>
        <a:prstGeom prst="rect">
          <a:avLst/>
        </a:prstGeom>
      </xdr:spPr>
    </xdr:pic>
    <xdr:clientData/>
  </xdr:twoCellAnchor>
  <xdr:twoCellAnchor editAs="oneCell">
    <xdr:from>
      <xdr:col>13</xdr:col>
      <xdr:colOff>501973</xdr:colOff>
      <xdr:row>6</xdr:row>
      <xdr:rowOff>153260</xdr:rowOff>
    </xdr:from>
    <xdr:to>
      <xdr:col>14</xdr:col>
      <xdr:colOff>493618</xdr:colOff>
      <xdr:row>9</xdr:row>
      <xdr:rowOff>46153</xdr:rowOff>
    </xdr:to>
    <xdr:pic>
      <xdr:nvPicPr>
        <xdr:cNvPr id="29" name="Graphic 28" descr="Bar graph with upward trend with solid fill">
          <a:extLst>
            <a:ext uri="{FF2B5EF4-FFF2-40B4-BE49-F238E27FC236}">
              <a16:creationId xmlns:a16="http://schemas.microsoft.com/office/drawing/2014/main" id="{DD54B9B4-1785-75F1-4CED-B9210C43B9B3}"/>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8481806" y="1232760"/>
          <a:ext cx="605479" cy="432643"/>
        </a:xfrm>
        <a:prstGeom prst="rect">
          <a:avLst/>
        </a:prstGeom>
      </xdr:spPr>
    </xdr:pic>
    <xdr:clientData/>
  </xdr:twoCellAnchor>
  <xdr:twoCellAnchor editAs="oneCell">
    <xdr:from>
      <xdr:col>19</xdr:col>
      <xdr:colOff>338876</xdr:colOff>
      <xdr:row>6</xdr:row>
      <xdr:rowOff>89709</xdr:rowOff>
    </xdr:from>
    <xdr:to>
      <xdr:col>20</xdr:col>
      <xdr:colOff>412749</xdr:colOff>
      <xdr:row>9</xdr:row>
      <xdr:rowOff>137583</xdr:rowOff>
    </xdr:to>
    <xdr:pic>
      <xdr:nvPicPr>
        <xdr:cNvPr id="31" name="Graphic 30" descr="Money outline">
          <a:extLst>
            <a:ext uri="{FF2B5EF4-FFF2-40B4-BE49-F238E27FC236}">
              <a16:creationId xmlns:a16="http://schemas.microsoft.com/office/drawing/2014/main" id="{1FF67E37-D119-46EF-FD88-801B9D999A72}"/>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r:embed="rId18"/>
            </a:ext>
          </a:extLst>
        </a:blip>
        <a:stretch>
          <a:fillRect/>
        </a:stretch>
      </xdr:blipFill>
      <xdr:spPr>
        <a:xfrm>
          <a:off x="12001709" y="1169209"/>
          <a:ext cx="687707" cy="587624"/>
        </a:xfrm>
        <a:prstGeom prst="rect">
          <a:avLst/>
        </a:prstGeom>
      </xdr:spPr>
    </xdr:pic>
    <xdr:clientData/>
  </xdr:twoCellAnchor>
  <xdr:twoCellAnchor editAs="oneCell">
    <xdr:from>
      <xdr:col>4</xdr:col>
      <xdr:colOff>593361</xdr:colOff>
      <xdr:row>37</xdr:row>
      <xdr:rowOff>144071</xdr:rowOff>
    </xdr:from>
    <xdr:to>
      <xdr:col>5</xdr:col>
      <xdr:colOff>322705</xdr:colOff>
      <xdr:row>39</xdr:row>
      <xdr:rowOff>112842</xdr:rowOff>
    </xdr:to>
    <xdr:pic>
      <xdr:nvPicPr>
        <xdr:cNvPr id="21" name="Graphic 20" descr="Airplane with solid fill">
          <a:extLst>
            <a:ext uri="{FF2B5EF4-FFF2-40B4-BE49-F238E27FC236}">
              <a16:creationId xmlns:a16="http://schemas.microsoft.com/office/drawing/2014/main" id="{4F5BDCCC-C3A9-56F1-52D0-D84A57BCFBC7}"/>
            </a:ext>
          </a:extLst>
        </xdr:cNvPr>
        <xdr:cNvPicPr>
          <a:picLocks noChangeAspect="1"/>
        </xdr:cNvPicPr>
      </xdr:nvPicPr>
      <xdr:blipFill>
        <a:blip xmlns:r="http://schemas.openxmlformats.org/officeDocument/2006/relationships" r:embed="rId19">
          <a:extLst>
            <a:ext uri="{96DAC541-7B7A-43D3-8B79-37D633B846F1}">
              <asvg:svgBlip xmlns:asvg="http://schemas.microsoft.com/office/drawing/2016/SVG/main" r:embed="rId20"/>
            </a:ext>
          </a:extLst>
        </a:blip>
        <a:stretch>
          <a:fillRect/>
        </a:stretch>
      </xdr:blipFill>
      <xdr:spPr>
        <a:xfrm>
          <a:off x="3050082" y="7077022"/>
          <a:ext cx="343525" cy="343525"/>
        </a:xfrm>
        <a:prstGeom prst="rect">
          <a:avLst/>
        </a:prstGeom>
      </xdr:spPr>
    </xdr:pic>
    <xdr:clientData/>
  </xdr:twoCellAnchor>
  <xdr:twoCellAnchor editAs="oneCell">
    <xdr:from>
      <xdr:col>6</xdr:col>
      <xdr:colOff>362677</xdr:colOff>
      <xdr:row>12</xdr:row>
      <xdr:rowOff>-1</xdr:rowOff>
    </xdr:from>
    <xdr:to>
      <xdr:col>7</xdr:col>
      <xdr:colOff>279398</xdr:colOff>
      <xdr:row>14</xdr:row>
      <xdr:rowOff>156146</xdr:rowOff>
    </xdr:to>
    <xdr:pic>
      <xdr:nvPicPr>
        <xdr:cNvPr id="24" name="Graphic 23" descr="Money with solid fill">
          <a:extLst>
            <a:ext uri="{FF2B5EF4-FFF2-40B4-BE49-F238E27FC236}">
              <a16:creationId xmlns:a16="http://schemas.microsoft.com/office/drawing/2014/main" id="{B5204A60-5391-3E86-1FC7-8A47FD9BADDB}"/>
            </a:ext>
          </a:extLst>
        </xdr:cNvPr>
        <xdr:cNvPicPr>
          <a:picLocks noChangeAspect="1"/>
        </xdr:cNvPicPr>
      </xdr:nvPicPr>
      <xdr:blipFill>
        <a:blip xmlns:r="http://schemas.openxmlformats.org/officeDocument/2006/relationships" r:embed="rId21">
          <a:extLst>
            <a:ext uri="{96DAC541-7B7A-43D3-8B79-37D633B846F1}">
              <asvg:svgBlip xmlns:asvg="http://schemas.microsoft.com/office/drawing/2016/SVG/main" r:embed="rId22"/>
            </a:ext>
          </a:extLst>
        </a:blip>
        <a:stretch>
          <a:fillRect/>
        </a:stretch>
      </xdr:blipFill>
      <xdr:spPr>
        <a:xfrm>
          <a:off x="4047759" y="2248524"/>
          <a:ext cx="530901" cy="530901"/>
        </a:xfrm>
        <a:prstGeom prst="rect">
          <a:avLst/>
        </a:prstGeom>
      </xdr:spPr>
    </xdr:pic>
    <xdr:clientData/>
  </xdr:twoCellAnchor>
  <xdr:twoCellAnchor editAs="oneCell">
    <xdr:from>
      <xdr:col>7</xdr:col>
      <xdr:colOff>312294</xdr:colOff>
      <xdr:row>12</xdr:row>
      <xdr:rowOff>50383</xdr:rowOff>
    </xdr:from>
    <xdr:to>
      <xdr:col>8</xdr:col>
      <xdr:colOff>145736</xdr:colOff>
      <xdr:row>14</xdr:row>
      <xdr:rowOff>123252</xdr:rowOff>
    </xdr:to>
    <xdr:pic>
      <xdr:nvPicPr>
        <xdr:cNvPr id="28" name="Graphic 27" descr="City outline">
          <a:extLst>
            <a:ext uri="{FF2B5EF4-FFF2-40B4-BE49-F238E27FC236}">
              <a16:creationId xmlns:a16="http://schemas.microsoft.com/office/drawing/2014/main" id="{B8BC3B7C-F9F4-CAC8-D1F2-FB457E493145}"/>
            </a:ext>
          </a:extLst>
        </xdr:cNvPr>
        <xdr:cNvPicPr>
          <a:picLocks noChangeAspect="1"/>
        </xdr:cNvPicPr>
      </xdr:nvPicPr>
      <xdr:blipFill>
        <a:blip xmlns:r="http://schemas.openxmlformats.org/officeDocument/2006/relationships" r:embed="rId23">
          <a:extLst>
            <a:ext uri="{96DAC541-7B7A-43D3-8B79-37D633B846F1}">
              <asvg:svgBlip xmlns:asvg="http://schemas.microsoft.com/office/drawing/2016/SVG/main" r:embed="rId24"/>
            </a:ext>
          </a:extLst>
        </a:blip>
        <a:stretch>
          <a:fillRect/>
        </a:stretch>
      </xdr:blipFill>
      <xdr:spPr>
        <a:xfrm>
          <a:off x="4611556" y="2298908"/>
          <a:ext cx="447623" cy="447623"/>
        </a:xfrm>
        <a:prstGeom prst="rect">
          <a:avLst/>
        </a:prstGeom>
      </xdr:spPr>
    </xdr:pic>
    <xdr:clientData/>
  </xdr:twoCellAnchor>
  <xdr:twoCellAnchor editAs="oneCell">
    <xdr:from>
      <xdr:col>25</xdr:col>
      <xdr:colOff>383499</xdr:colOff>
      <xdr:row>6</xdr:row>
      <xdr:rowOff>31230</xdr:rowOff>
    </xdr:from>
    <xdr:to>
      <xdr:col>26</xdr:col>
      <xdr:colOff>362678</xdr:colOff>
      <xdr:row>9</xdr:row>
      <xdr:rowOff>62459</xdr:rowOff>
    </xdr:to>
    <xdr:pic>
      <xdr:nvPicPr>
        <xdr:cNvPr id="32" name="Graphic 31" descr="Target Audience with solid fill">
          <a:extLst>
            <a:ext uri="{FF2B5EF4-FFF2-40B4-BE49-F238E27FC236}">
              <a16:creationId xmlns:a16="http://schemas.microsoft.com/office/drawing/2014/main" id="{81D3FCAF-F090-3BBA-F062-F4AC4E931C61}"/>
            </a:ext>
          </a:extLst>
        </xdr:cNvPr>
        <xdr:cNvPicPr>
          <a:picLocks noChangeAspect="1"/>
        </xdr:cNvPicPr>
      </xdr:nvPicPr>
      <xdr:blipFill>
        <a:blip xmlns:r="http://schemas.openxmlformats.org/officeDocument/2006/relationships" r:embed="rId25">
          <a:extLst>
            <a:ext uri="{96DAC541-7B7A-43D3-8B79-37D633B846F1}">
              <asvg:svgBlip xmlns:asvg="http://schemas.microsoft.com/office/drawing/2016/SVG/main" r:embed="rId26"/>
            </a:ext>
          </a:extLst>
        </a:blip>
        <a:stretch>
          <a:fillRect/>
        </a:stretch>
      </xdr:blipFill>
      <xdr:spPr>
        <a:xfrm>
          <a:off x="15738007" y="1155492"/>
          <a:ext cx="593360" cy="593360"/>
        </a:xfrm>
        <a:prstGeom prst="rect">
          <a:avLst/>
        </a:prstGeom>
      </xdr:spPr>
    </xdr:pic>
    <xdr:clientData/>
  </xdr:twoCellAnchor>
</xdr:wsDr>
</file>

<file path=xl/drawings/drawing4.xml><?xml version="1.0" encoding="utf-8"?>
<c:userShapes xmlns:c="http://schemas.openxmlformats.org/drawingml/2006/chart">
  <cdr:relSizeAnchor xmlns:cdr="http://schemas.openxmlformats.org/drawingml/2006/chartDrawing">
    <cdr:from>
      <cdr:x>0.67469</cdr:x>
      <cdr:y>0.07585</cdr:y>
    </cdr:from>
    <cdr:to>
      <cdr:x>0.78461</cdr:x>
      <cdr:y>0.28693</cdr:y>
    </cdr:to>
    <cdr:pic>
      <cdr:nvPicPr>
        <cdr:cNvPr id="3" name="Graphic 2" descr="Register with solid fill">
          <a:extLst xmlns:a="http://schemas.openxmlformats.org/drawingml/2006/main">
            <a:ext uri="{FF2B5EF4-FFF2-40B4-BE49-F238E27FC236}">
              <a16:creationId xmlns:a16="http://schemas.microsoft.com/office/drawing/2014/main" id="{1590632C-B95C-F526-E214-822B9F0BE78E}"/>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extLst>
            <a:ext uri="{96DAC541-7B7A-43D3-8B79-37D633B846F1}">
              <asvg:svgBlip xmlns:asvg="http://schemas.microsoft.com/office/drawing/2016/SVG/main" r:embed="rId2"/>
            </a:ext>
          </a:extLst>
        </a:blip>
        <a:stretch xmlns:a="http://schemas.openxmlformats.org/drawingml/2006/main">
          <a:fillRect/>
        </a:stretch>
      </cdr:blipFill>
      <cdr:spPr>
        <a:xfrm xmlns:a="http://schemas.openxmlformats.org/drawingml/2006/main">
          <a:off x="3705901" y="216941"/>
          <a:ext cx="603771" cy="603771"/>
        </a:xfrm>
        <a:prstGeom xmlns:a="http://schemas.openxmlformats.org/drawingml/2006/main" prst="rect">
          <a:avLst/>
        </a:prstGeom>
      </cdr:spPr>
    </cdr:pic>
  </cdr:relSizeAnchor>
</c:userShapes>
</file>

<file path=xl/drawings/drawing5.xml><?xml version="1.0" encoding="utf-8"?>
<c:userShapes xmlns:c="http://schemas.openxmlformats.org/drawingml/2006/chart">
  <cdr:relSizeAnchor xmlns:cdr="http://schemas.openxmlformats.org/drawingml/2006/chartDrawing">
    <cdr:from>
      <cdr:x>0.04697</cdr:x>
      <cdr:y>0.83856</cdr:y>
    </cdr:from>
    <cdr:to>
      <cdr:x>0.16337</cdr:x>
      <cdr:y>0.96252</cdr:y>
    </cdr:to>
    <cdr:pic>
      <cdr:nvPicPr>
        <cdr:cNvPr id="3" name="Graphic 2" descr="City with solid fill">
          <a:extLst xmlns:a="http://schemas.openxmlformats.org/drawingml/2006/main">
            <a:ext uri="{FF2B5EF4-FFF2-40B4-BE49-F238E27FC236}">
              <a16:creationId xmlns:a16="http://schemas.microsoft.com/office/drawing/2014/main" id="{6D1BF971-DFBE-E7CB-9D45-25EFBC39C7EE}"/>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extLst>
            <a:ext uri="{96DAC541-7B7A-43D3-8B79-37D633B846F1}">
              <asvg:svgBlip xmlns:asvg="http://schemas.microsoft.com/office/drawing/2016/SVG/main" r:embed="rId2"/>
            </a:ext>
          </a:extLst>
        </a:blip>
        <a:stretch xmlns:a="http://schemas.openxmlformats.org/drawingml/2006/main">
          <a:fillRect/>
        </a:stretch>
      </cdr:blipFill>
      <cdr:spPr>
        <a:xfrm xmlns:a="http://schemas.openxmlformats.org/drawingml/2006/main">
          <a:off x="166558" y="2791849"/>
          <a:ext cx="412715" cy="412715"/>
        </a:xfrm>
        <a:prstGeom xmlns:a="http://schemas.openxmlformats.org/drawingml/2006/main" prst="rect">
          <a:avLst/>
        </a:prstGeom>
      </cdr:spPr>
    </cdr:pic>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244.438591782404" createdVersion="8" refreshedVersion="8" minRefreshableVersion="3" recordCount="50" xr:uid="{F84F9246-3090-487E-9D30-D0311B80F97E}">
  <cacheSource type="worksheet">
    <worksheetSource name="Table1"/>
  </cacheSource>
  <cacheFields count="14">
    <cacheField name="Ride_ID" numFmtId="0">
      <sharedItems count="50">
        <s v="UBR001"/>
        <s v="UBR002"/>
        <s v="UBR003"/>
        <s v="UBR004"/>
        <s v="UBR005"/>
        <s v="UBR006"/>
        <s v="UBR007"/>
        <s v="UBR008"/>
        <s v="UBR009"/>
        <s v="UBR010"/>
        <s v="UBR011"/>
        <s v="UBR012"/>
        <s v="UBR013"/>
        <s v="UBR014"/>
        <s v="UBR015"/>
        <s v="UBR016"/>
        <s v="UBR017"/>
        <s v="UBR018"/>
        <s v="UBR019"/>
        <s v="UBR020"/>
        <s v="UBR021"/>
        <s v="UBR022"/>
        <s v="UBR023"/>
        <s v="UBR024"/>
        <s v="UBR025"/>
        <s v="UBR026"/>
        <s v="UBR027"/>
        <s v="UBR028"/>
        <s v="UBR029"/>
        <s v="UBR030"/>
        <s v="UBR031"/>
        <s v="UBR032"/>
        <s v="UBR033"/>
        <s v="UBR034"/>
        <s v="UBR035"/>
        <s v="UBR036"/>
        <s v="UBR037"/>
        <s v="UBR038"/>
        <s v="UBR039"/>
        <s v="UBR040"/>
        <s v="UBR041"/>
        <s v="UBR042"/>
        <s v="UBR043"/>
        <s v="UBR044"/>
        <s v="UBR045"/>
        <s v="UBR046"/>
        <s v="UBR047"/>
        <s v="UBR048"/>
        <s v="UBR049"/>
        <s v="UBR050"/>
      </sharedItems>
    </cacheField>
    <cacheField name="Date" numFmtId="15">
      <sharedItems containsSemiMixedTypes="0" containsNonDate="0" containsDate="1" containsString="0" minDate="2026-08-01T00:00:00" maxDate="2026-08-10T00:00:00" count="9">
        <d v="2026-08-01T00:00:00"/>
        <d v="2026-08-02T00:00:00"/>
        <d v="2026-08-03T00:00:00"/>
        <d v="2026-08-04T00:00:00"/>
        <d v="2026-08-05T00:00:00"/>
        <d v="2026-08-06T00:00:00"/>
        <d v="2026-08-07T00:00:00"/>
        <d v="2026-08-08T00:00:00"/>
        <d v="2026-08-09T00:00:00"/>
      </sharedItems>
    </cacheField>
    <cacheField name="City" numFmtId="0">
      <sharedItems count="7">
        <s v="Bengaluru"/>
        <s v="Mumbai"/>
        <s v="Delhi"/>
        <s v="Hyderabad"/>
        <s v="Chennai"/>
        <s v="Pune"/>
        <s v="Kochi"/>
      </sharedItems>
    </cacheField>
    <cacheField name="Vehicle_Type" numFmtId="0">
      <sharedItems count="4">
        <s v="UberGo"/>
        <s v="UberXL"/>
        <s v="Premier"/>
        <s v="Auto"/>
      </sharedItems>
    </cacheField>
    <cacheField name="Trip_Type" numFmtId="0">
      <sharedItems count="2">
        <s v="City"/>
        <s v="Airport"/>
      </sharedItems>
    </cacheField>
    <cacheField name="Customer_Type" numFmtId="0">
      <sharedItems count="3">
        <s v="Regular"/>
        <s v="New"/>
        <s v="Premium"/>
      </sharedItems>
    </cacheField>
    <cacheField name="Payment_Mode" numFmtId="0">
      <sharedItems count="3">
        <s v="UPI"/>
        <s v="Card"/>
        <s v="Cash"/>
      </sharedItems>
    </cacheField>
    <cacheField name="Distance_KM" numFmtId="0">
      <sharedItems containsSemiMixedTypes="0" containsString="0" containsNumber="1" minValue="3.2" maxValue="28.7"/>
    </cacheField>
    <cacheField name="Fare_INR" numFmtId="0">
      <sharedItems containsSemiMixedTypes="0" containsString="0" containsNumber="1" containsInteger="1" minValue="80" maxValue="890"/>
    </cacheField>
    <cacheField name="Discount_INR" numFmtId="0">
      <sharedItems containsSemiMixedTypes="0" containsString="0" containsNumber="1" containsInteger="1" minValue="0" maxValue="100"/>
    </cacheField>
    <cacheField name="Driver_Rating" numFmtId="0">
      <sharedItems containsSemiMixedTypes="0" containsString="0" containsNumber="1" minValue="4.2" maxValue="4.9000000000000004"/>
    </cacheField>
    <cacheField name="Customer_Rating" numFmtId="0">
      <sharedItems containsSemiMixedTypes="0" containsString="0" containsNumber="1" minValue="4" maxValue="4.9000000000000004"/>
    </cacheField>
    <cacheField name="Trip_Duration_Min" numFmtId="0">
      <sharedItems containsSemiMixedTypes="0" containsString="0" containsNumber="1" containsInteger="1" minValue="14" maxValue="67"/>
    </cacheField>
    <cacheField name="Status" numFmtId="0">
      <sharedItems count="2">
        <s v="Completed"/>
        <s v="Cancelled"/>
      </sharedItems>
    </cacheField>
  </cacheFields>
  <extLst>
    <ext xmlns:x14="http://schemas.microsoft.com/office/spreadsheetml/2009/9/main" uri="{725AE2AE-9491-48be-B2B4-4EB974FC3084}">
      <x14:pivotCacheDefinition pivotCacheId="165677340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
  <r>
    <x v="0"/>
    <x v="0"/>
    <x v="0"/>
    <x v="0"/>
    <x v="0"/>
    <x v="0"/>
    <x v="0"/>
    <n v="8.5"/>
    <n v="245"/>
    <n v="20"/>
    <n v="4.8"/>
    <n v="4.7"/>
    <n v="28"/>
    <x v="0"/>
  </r>
  <r>
    <x v="1"/>
    <x v="0"/>
    <x v="1"/>
    <x v="0"/>
    <x v="0"/>
    <x v="1"/>
    <x v="1"/>
    <n v="12.2"/>
    <n v="385"/>
    <n v="50"/>
    <n v="4.5999999999999996"/>
    <n v="4.5"/>
    <n v="41"/>
    <x v="0"/>
  </r>
  <r>
    <x v="2"/>
    <x v="0"/>
    <x v="2"/>
    <x v="1"/>
    <x v="1"/>
    <x v="0"/>
    <x v="0"/>
    <n v="24.5"/>
    <n v="720"/>
    <n v="80"/>
    <n v="4.9000000000000004"/>
    <n v="4.8"/>
    <n v="55"/>
    <x v="0"/>
  </r>
  <r>
    <x v="3"/>
    <x v="0"/>
    <x v="3"/>
    <x v="0"/>
    <x v="0"/>
    <x v="0"/>
    <x v="2"/>
    <n v="6.8"/>
    <n v="190"/>
    <n v="0"/>
    <n v="4.5"/>
    <n v="4.5999999999999996"/>
    <n v="22"/>
    <x v="0"/>
  </r>
  <r>
    <x v="4"/>
    <x v="0"/>
    <x v="4"/>
    <x v="2"/>
    <x v="0"/>
    <x v="2"/>
    <x v="1"/>
    <n v="10.4"/>
    <n v="410"/>
    <n v="30"/>
    <n v="4.9000000000000004"/>
    <n v="4.9000000000000004"/>
    <n v="35"/>
    <x v="0"/>
  </r>
  <r>
    <x v="5"/>
    <x v="1"/>
    <x v="5"/>
    <x v="0"/>
    <x v="0"/>
    <x v="1"/>
    <x v="0"/>
    <n v="7.2"/>
    <n v="215"/>
    <n v="25"/>
    <n v="4.7"/>
    <n v="4.4000000000000004"/>
    <n v="25"/>
    <x v="0"/>
  </r>
  <r>
    <x v="6"/>
    <x v="1"/>
    <x v="0"/>
    <x v="3"/>
    <x v="0"/>
    <x v="0"/>
    <x v="0"/>
    <n v="4.5"/>
    <n v="105"/>
    <n v="10"/>
    <n v="4.5999999999999996"/>
    <n v="4.5"/>
    <n v="18"/>
    <x v="0"/>
  </r>
  <r>
    <x v="7"/>
    <x v="1"/>
    <x v="1"/>
    <x v="1"/>
    <x v="1"/>
    <x v="2"/>
    <x v="1"/>
    <n v="28.7"/>
    <n v="890"/>
    <n v="100"/>
    <n v="4.8"/>
    <n v="4.9000000000000004"/>
    <n v="67"/>
    <x v="0"/>
  </r>
  <r>
    <x v="8"/>
    <x v="1"/>
    <x v="2"/>
    <x v="0"/>
    <x v="0"/>
    <x v="0"/>
    <x v="2"/>
    <n v="9.8000000000000007"/>
    <n v="290"/>
    <n v="0"/>
    <n v="4.4000000000000004"/>
    <n v="4.2"/>
    <n v="31"/>
    <x v="0"/>
  </r>
  <r>
    <x v="9"/>
    <x v="1"/>
    <x v="6"/>
    <x v="0"/>
    <x v="1"/>
    <x v="1"/>
    <x v="0"/>
    <n v="18.5"/>
    <n v="540"/>
    <n v="60"/>
    <n v="4.7"/>
    <n v="4.5999999999999996"/>
    <n v="44"/>
    <x v="0"/>
  </r>
  <r>
    <x v="10"/>
    <x v="2"/>
    <x v="0"/>
    <x v="2"/>
    <x v="0"/>
    <x v="2"/>
    <x v="1"/>
    <n v="14.2"/>
    <n v="560"/>
    <n v="40"/>
    <n v="4.9000000000000004"/>
    <n v="4.8"/>
    <n v="43"/>
    <x v="0"/>
  </r>
  <r>
    <x v="11"/>
    <x v="2"/>
    <x v="1"/>
    <x v="0"/>
    <x v="0"/>
    <x v="0"/>
    <x v="0"/>
    <n v="5.7"/>
    <n v="175"/>
    <n v="15"/>
    <n v="4.5999999999999996"/>
    <n v="4.7"/>
    <n v="20"/>
    <x v="0"/>
  </r>
  <r>
    <x v="12"/>
    <x v="2"/>
    <x v="2"/>
    <x v="3"/>
    <x v="0"/>
    <x v="1"/>
    <x v="2"/>
    <n v="3.8"/>
    <n v="90"/>
    <n v="0"/>
    <n v="4.3"/>
    <n v="4.0999999999999996"/>
    <n v="16"/>
    <x v="0"/>
  </r>
  <r>
    <x v="13"/>
    <x v="2"/>
    <x v="3"/>
    <x v="1"/>
    <x v="1"/>
    <x v="0"/>
    <x v="1"/>
    <n v="22.4"/>
    <n v="680"/>
    <n v="70"/>
    <n v="4.8"/>
    <n v="4.7"/>
    <n v="52"/>
    <x v="0"/>
  </r>
  <r>
    <x v="14"/>
    <x v="2"/>
    <x v="4"/>
    <x v="0"/>
    <x v="0"/>
    <x v="0"/>
    <x v="0"/>
    <n v="8.9"/>
    <n v="260"/>
    <n v="20"/>
    <n v="4.7"/>
    <n v="4.5999999999999996"/>
    <n v="29"/>
    <x v="0"/>
  </r>
  <r>
    <x v="15"/>
    <x v="2"/>
    <x v="5"/>
    <x v="2"/>
    <x v="0"/>
    <x v="2"/>
    <x v="1"/>
    <n v="11.5"/>
    <n v="450"/>
    <n v="35"/>
    <n v="4.9000000000000004"/>
    <n v="4.9000000000000004"/>
    <n v="37"/>
    <x v="0"/>
  </r>
  <r>
    <x v="16"/>
    <x v="3"/>
    <x v="0"/>
    <x v="0"/>
    <x v="0"/>
    <x v="1"/>
    <x v="0"/>
    <n v="6.4"/>
    <n v="185"/>
    <n v="20"/>
    <n v="4.5"/>
    <n v="4.3"/>
    <n v="23"/>
    <x v="1"/>
  </r>
  <r>
    <x v="17"/>
    <x v="3"/>
    <x v="1"/>
    <x v="0"/>
    <x v="0"/>
    <x v="0"/>
    <x v="2"/>
    <n v="10.6"/>
    <n v="320"/>
    <n v="0"/>
    <n v="4.7"/>
    <n v="4.5"/>
    <n v="34"/>
    <x v="0"/>
  </r>
  <r>
    <x v="18"/>
    <x v="3"/>
    <x v="2"/>
    <x v="2"/>
    <x v="1"/>
    <x v="2"/>
    <x v="1"/>
    <n v="26.3"/>
    <n v="840"/>
    <n v="90"/>
    <n v="4.9000000000000004"/>
    <n v="4.8"/>
    <n v="61"/>
    <x v="0"/>
  </r>
  <r>
    <x v="19"/>
    <x v="3"/>
    <x v="6"/>
    <x v="3"/>
    <x v="0"/>
    <x v="0"/>
    <x v="0"/>
    <n v="5.0999999999999996"/>
    <n v="115"/>
    <n v="10"/>
    <n v="4.5"/>
    <n v="4.4000000000000004"/>
    <n v="19"/>
    <x v="0"/>
  </r>
  <r>
    <x v="20"/>
    <x v="3"/>
    <x v="3"/>
    <x v="0"/>
    <x v="0"/>
    <x v="0"/>
    <x v="0"/>
    <n v="9.3000000000000007"/>
    <n v="275"/>
    <n v="25"/>
    <n v="4.5999999999999996"/>
    <n v="4.7"/>
    <n v="30"/>
    <x v="0"/>
  </r>
  <r>
    <x v="21"/>
    <x v="3"/>
    <x v="4"/>
    <x v="1"/>
    <x v="1"/>
    <x v="1"/>
    <x v="1"/>
    <n v="21.8"/>
    <n v="650"/>
    <n v="75"/>
    <n v="4.7"/>
    <n v="4.5"/>
    <n v="50"/>
    <x v="0"/>
  </r>
  <r>
    <x v="22"/>
    <x v="4"/>
    <x v="5"/>
    <x v="0"/>
    <x v="0"/>
    <x v="0"/>
    <x v="2"/>
    <n v="7.6"/>
    <n v="225"/>
    <n v="0"/>
    <n v="4.4000000000000004"/>
    <n v="4.3"/>
    <n v="26"/>
    <x v="0"/>
  </r>
  <r>
    <x v="23"/>
    <x v="4"/>
    <x v="0"/>
    <x v="3"/>
    <x v="0"/>
    <x v="1"/>
    <x v="0"/>
    <n v="3.2"/>
    <n v="80"/>
    <n v="5"/>
    <n v="4.5"/>
    <n v="4.2"/>
    <n v="14"/>
    <x v="0"/>
  </r>
  <r>
    <x v="24"/>
    <x v="4"/>
    <x v="1"/>
    <x v="2"/>
    <x v="0"/>
    <x v="2"/>
    <x v="1"/>
    <n v="13.7"/>
    <n v="525"/>
    <n v="45"/>
    <n v="4.9000000000000004"/>
    <n v="4.9000000000000004"/>
    <n v="42"/>
    <x v="0"/>
  </r>
  <r>
    <x v="25"/>
    <x v="4"/>
    <x v="2"/>
    <x v="0"/>
    <x v="0"/>
    <x v="0"/>
    <x v="0"/>
    <n v="11.4"/>
    <n v="335"/>
    <n v="30"/>
    <n v="4.8"/>
    <n v="4.7"/>
    <n v="36"/>
    <x v="0"/>
  </r>
  <r>
    <x v="26"/>
    <x v="4"/>
    <x v="3"/>
    <x v="0"/>
    <x v="0"/>
    <x v="1"/>
    <x v="2"/>
    <n v="5.9"/>
    <n v="165"/>
    <n v="0"/>
    <n v="4.3"/>
    <n v="4.0999999999999996"/>
    <n v="21"/>
    <x v="1"/>
  </r>
  <r>
    <x v="27"/>
    <x v="4"/>
    <x v="4"/>
    <x v="0"/>
    <x v="0"/>
    <x v="0"/>
    <x v="0"/>
    <n v="8.1999999999999993"/>
    <n v="240"/>
    <n v="20"/>
    <n v="4.5999999999999996"/>
    <n v="4.5"/>
    <n v="27"/>
    <x v="0"/>
  </r>
  <r>
    <x v="28"/>
    <x v="5"/>
    <x v="6"/>
    <x v="2"/>
    <x v="1"/>
    <x v="2"/>
    <x v="1"/>
    <n v="19.600000000000001"/>
    <n v="610"/>
    <n v="60"/>
    <n v="4.8"/>
    <n v="4.8"/>
    <n v="47"/>
    <x v="0"/>
  </r>
  <r>
    <x v="29"/>
    <x v="5"/>
    <x v="5"/>
    <x v="3"/>
    <x v="0"/>
    <x v="0"/>
    <x v="0"/>
    <n v="4.2"/>
    <n v="95"/>
    <n v="5"/>
    <n v="4.5"/>
    <n v="4.4000000000000004"/>
    <n v="17"/>
    <x v="0"/>
  </r>
  <r>
    <x v="30"/>
    <x v="5"/>
    <x v="0"/>
    <x v="1"/>
    <x v="1"/>
    <x v="0"/>
    <x v="1"/>
    <n v="25.8"/>
    <n v="795"/>
    <n v="85"/>
    <n v="4.9000000000000004"/>
    <n v="4.8"/>
    <n v="59"/>
    <x v="0"/>
  </r>
  <r>
    <x v="31"/>
    <x v="5"/>
    <x v="1"/>
    <x v="0"/>
    <x v="0"/>
    <x v="1"/>
    <x v="0"/>
    <n v="9.1"/>
    <n v="270"/>
    <n v="30"/>
    <n v="4.5999999999999996"/>
    <n v="4.5"/>
    <n v="30"/>
    <x v="0"/>
  </r>
  <r>
    <x v="32"/>
    <x v="5"/>
    <x v="2"/>
    <x v="0"/>
    <x v="0"/>
    <x v="0"/>
    <x v="2"/>
    <n v="6.7"/>
    <n v="195"/>
    <n v="0"/>
    <n v="4.4000000000000004"/>
    <n v="4.3"/>
    <n v="23"/>
    <x v="0"/>
  </r>
  <r>
    <x v="33"/>
    <x v="6"/>
    <x v="3"/>
    <x v="2"/>
    <x v="0"/>
    <x v="2"/>
    <x v="1"/>
    <n v="12.8"/>
    <n v="490"/>
    <n v="40"/>
    <n v="4.9000000000000004"/>
    <n v="4.9000000000000004"/>
    <n v="39"/>
    <x v="0"/>
  </r>
  <r>
    <x v="34"/>
    <x v="6"/>
    <x v="4"/>
    <x v="0"/>
    <x v="0"/>
    <x v="0"/>
    <x v="0"/>
    <n v="7.5"/>
    <n v="220"/>
    <n v="15"/>
    <n v="4.7"/>
    <n v="4.5999999999999996"/>
    <n v="25"/>
    <x v="0"/>
  </r>
  <r>
    <x v="35"/>
    <x v="6"/>
    <x v="5"/>
    <x v="1"/>
    <x v="1"/>
    <x v="0"/>
    <x v="1"/>
    <n v="23.6"/>
    <n v="705"/>
    <n v="70"/>
    <n v="4.8"/>
    <n v="4.7"/>
    <n v="54"/>
    <x v="0"/>
  </r>
  <r>
    <x v="36"/>
    <x v="6"/>
    <x v="0"/>
    <x v="0"/>
    <x v="0"/>
    <x v="1"/>
    <x v="0"/>
    <n v="5.3"/>
    <n v="155"/>
    <n v="20"/>
    <n v="4.5"/>
    <n v="4.4000000000000004"/>
    <n v="19"/>
    <x v="0"/>
  </r>
  <r>
    <x v="37"/>
    <x v="6"/>
    <x v="1"/>
    <x v="3"/>
    <x v="0"/>
    <x v="0"/>
    <x v="2"/>
    <n v="4.7"/>
    <n v="110"/>
    <n v="0"/>
    <n v="4.4000000000000004"/>
    <n v="4.2"/>
    <n v="18"/>
    <x v="1"/>
  </r>
  <r>
    <x v="38"/>
    <x v="6"/>
    <x v="2"/>
    <x v="0"/>
    <x v="0"/>
    <x v="2"/>
    <x v="1"/>
    <n v="10.9"/>
    <n v="330"/>
    <n v="25"/>
    <n v="4.8"/>
    <n v="4.7"/>
    <n v="35"/>
    <x v="0"/>
  </r>
  <r>
    <x v="39"/>
    <x v="6"/>
    <x v="6"/>
    <x v="0"/>
    <x v="1"/>
    <x v="0"/>
    <x v="0"/>
    <n v="16.8"/>
    <n v="495"/>
    <n v="50"/>
    <n v="4.7"/>
    <n v="4.5999999999999996"/>
    <n v="40"/>
    <x v="0"/>
  </r>
  <r>
    <x v="40"/>
    <x v="7"/>
    <x v="3"/>
    <x v="3"/>
    <x v="0"/>
    <x v="1"/>
    <x v="0"/>
    <n v="3.9"/>
    <n v="92"/>
    <n v="5"/>
    <n v="4.5"/>
    <n v="4.3"/>
    <n v="15"/>
    <x v="0"/>
  </r>
  <r>
    <x v="41"/>
    <x v="7"/>
    <x v="4"/>
    <x v="2"/>
    <x v="0"/>
    <x v="2"/>
    <x v="1"/>
    <n v="15.2"/>
    <n v="575"/>
    <n v="50"/>
    <n v="4.9000000000000004"/>
    <n v="4.8"/>
    <n v="45"/>
    <x v="0"/>
  </r>
  <r>
    <x v="42"/>
    <x v="7"/>
    <x v="5"/>
    <x v="0"/>
    <x v="0"/>
    <x v="0"/>
    <x v="2"/>
    <n v="8.8000000000000007"/>
    <n v="255"/>
    <n v="0"/>
    <n v="4.5999999999999996"/>
    <n v="4.5"/>
    <n v="28"/>
    <x v="0"/>
  </r>
  <r>
    <x v="43"/>
    <x v="7"/>
    <x v="0"/>
    <x v="0"/>
    <x v="0"/>
    <x v="0"/>
    <x v="0"/>
    <n v="10.1"/>
    <n v="300"/>
    <n v="25"/>
    <n v="4.8"/>
    <n v="4.7"/>
    <n v="33"/>
    <x v="0"/>
  </r>
  <r>
    <x v="44"/>
    <x v="7"/>
    <x v="1"/>
    <x v="1"/>
    <x v="1"/>
    <x v="2"/>
    <x v="1"/>
    <n v="27.4"/>
    <n v="850"/>
    <n v="100"/>
    <n v="4.9000000000000004"/>
    <n v="4.9000000000000004"/>
    <n v="64"/>
    <x v="0"/>
  </r>
  <r>
    <x v="45"/>
    <x v="7"/>
    <x v="2"/>
    <x v="3"/>
    <x v="0"/>
    <x v="1"/>
    <x v="2"/>
    <n v="4.0999999999999996"/>
    <n v="95"/>
    <n v="0"/>
    <n v="4.2"/>
    <n v="4"/>
    <n v="17"/>
    <x v="0"/>
  </r>
  <r>
    <x v="46"/>
    <x v="8"/>
    <x v="3"/>
    <x v="0"/>
    <x v="0"/>
    <x v="0"/>
    <x v="0"/>
    <n v="7.9"/>
    <n v="230"/>
    <n v="20"/>
    <n v="4.7"/>
    <n v="4.5999999999999996"/>
    <n v="26"/>
    <x v="0"/>
  </r>
  <r>
    <x v="47"/>
    <x v="8"/>
    <x v="4"/>
    <x v="1"/>
    <x v="1"/>
    <x v="0"/>
    <x v="1"/>
    <n v="20.5"/>
    <n v="625"/>
    <n v="65"/>
    <n v="4.8"/>
    <n v="4.7"/>
    <n v="49"/>
    <x v="0"/>
  </r>
  <r>
    <x v="48"/>
    <x v="8"/>
    <x v="6"/>
    <x v="3"/>
    <x v="0"/>
    <x v="1"/>
    <x v="0"/>
    <n v="4.8"/>
    <n v="105"/>
    <n v="10"/>
    <n v="4.5999999999999996"/>
    <n v="4.4000000000000004"/>
    <n v="18"/>
    <x v="0"/>
  </r>
  <r>
    <x v="49"/>
    <x v="8"/>
    <x v="5"/>
    <x v="0"/>
    <x v="0"/>
    <x v="0"/>
    <x v="0"/>
    <n v="9.6"/>
    <n v="285"/>
    <n v="25"/>
    <n v="4.7"/>
    <n v="4.5999999999999996"/>
    <n v="32"/>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0FD1473-57A9-4793-B017-72DC4562AED9}"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M1:N4" firstHeaderRow="1" firstDataRow="1" firstDataCol="1"/>
  <pivotFields count="14">
    <pivotField showAll="0"/>
    <pivotField numFmtId="15" showAll="0"/>
    <pivotField showAll="0"/>
    <pivotField showAll="0"/>
    <pivotField axis="axisRow" showAll="0">
      <items count="3">
        <item x="1"/>
        <item x="0"/>
        <item t="default"/>
      </items>
    </pivotField>
    <pivotField showAll="0"/>
    <pivotField showAll="0"/>
    <pivotField showAll="0"/>
    <pivotField dataField="1" showAll="0"/>
    <pivotField showAll="0"/>
    <pivotField showAll="0"/>
    <pivotField showAll="0"/>
    <pivotField showAll="0"/>
    <pivotField showAll="0"/>
  </pivotFields>
  <rowFields count="1">
    <field x="4"/>
  </rowFields>
  <rowItems count="3">
    <i>
      <x/>
    </i>
    <i>
      <x v="1"/>
    </i>
    <i t="grand">
      <x/>
    </i>
  </rowItems>
  <colItems count="1">
    <i/>
  </colItems>
  <dataFields count="1">
    <dataField name="Sum of Fare_INR" fld="8" baseField="0" baseItem="0"/>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4" count="1" selected="0">
            <x v="0"/>
          </reference>
        </references>
      </pivotArea>
    </chartFormat>
    <chartFormat chart="0" format="2">
      <pivotArea type="data" outline="0" fieldPosition="0">
        <references count="2">
          <reference field="4294967294" count="1" selected="0">
            <x v="0"/>
          </reference>
          <reference field="4" count="1" selected="0">
            <x v="1"/>
          </reference>
        </references>
      </pivotArea>
    </chartFormat>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4" count="1" selected="0">
            <x v="0"/>
          </reference>
        </references>
      </pivotArea>
    </chartFormat>
    <chartFormat chart="2" format="8">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49A6BF0-316B-4540-AEF8-ED4A768B9332}"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1:B9" firstHeaderRow="1" firstDataRow="1" firstDataCol="1"/>
  <pivotFields count="14">
    <pivotField showAll="0"/>
    <pivotField numFmtId="15" showAll="0"/>
    <pivotField axis="axisRow" showAll="0">
      <items count="8">
        <item x="0"/>
        <item x="4"/>
        <item x="2"/>
        <item x="3"/>
        <item x="6"/>
        <item x="1"/>
        <item x="5"/>
        <item t="default"/>
      </items>
    </pivotField>
    <pivotField showAll="0"/>
    <pivotField showAll="0"/>
    <pivotField showAll="0"/>
    <pivotField showAll="0"/>
    <pivotField showAll="0"/>
    <pivotField dataField="1" showAll="0"/>
    <pivotField showAll="0"/>
    <pivotField showAll="0"/>
    <pivotField showAll="0"/>
    <pivotField showAll="0"/>
    <pivotField showAll="0"/>
  </pivotFields>
  <rowFields count="1">
    <field x="2"/>
  </rowFields>
  <rowItems count="8">
    <i>
      <x/>
    </i>
    <i>
      <x v="1"/>
    </i>
    <i>
      <x v="2"/>
    </i>
    <i>
      <x v="3"/>
    </i>
    <i>
      <x v="4"/>
    </i>
    <i>
      <x v="5"/>
    </i>
    <i>
      <x v="6"/>
    </i>
    <i t="grand">
      <x/>
    </i>
  </rowItems>
  <colItems count="1">
    <i/>
  </colItems>
  <dataFields count="1">
    <dataField name="Sum of Fare_INR" fld="8" baseField="0" baseItem="0"/>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8543B6C-468A-4A8F-89A1-4B60B4C21564}"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S1:T6" firstHeaderRow="1" firstDataRow="1" firstDataCol="1"/>
  <pivotFields count="14">
    <pivotField showAll="0"/>
    <pivotField numFmtId="15" showAll="0"/>
    <pivotField showAll="0"/>
    <pivotField axis="axisRow" showAll="0">
      <items count="5">
        <item x="3"/>
        <item x="2"/>
        <item x="0"/>
        <item x="1"/>
        <item t="default"/>
      </items>
    </pivotField>
    <pivotField showAll="0"/>
    <pivotField showAll="0"/>
    <pivotField showAll="0"/>
    <pivotField showAll="0"/>
    <pivotField showAll="0"/>
    <pivotField showAll="0"/>
    <pivotField showAll="0"/>
    <pivotField dataField="1" showAll="0"/>
    <pivotField showAll="0"/>
    <pivotField showAll="0"/>
  </pivotFields>
  <rowFields count="1">
    <field x="3"/>
  </rowFields>
  <rowItems count="5">
    <i>
      <x/>
    </i>
    <i>
      <x v="1"/>
    </i>
    <i>
      <x v="2"/>
    </i>
    <i>
      <x v="3"/>
    </i>
    <i t="grand">
      <x/>
    </i>
  </rowItems>
  <colItems count="1">
    <i/>
  </colItems>
  <dataFields count="1">
    <dataField name="Sum of Customer_Rating" fld="11"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ACA1E74-E910-44E7-8DC4-CCB5D461221C}"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G1:H11" firstHeaderRow="1" firstDataRow="1" firstDataCol="1"/>
  <pivotFields count="14">
    <pivotField showAll="0"/>
    <pivotField axis="axisRow" numFmtId="15" showAll="0">
      <items count="10">
        <item x="0"/>
        <item x="1"/>
        <item x="2"/>
        <item x="3"/>
        <item x="4"/>
        <item x="5"/>
        <item x="6"/>
        <item x="7"/>
        <item x="8"/>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s>
  <rowFields count="1">
    <field x="1"/>
  </rowFields>
  <rowItems count="10">
    <i>
      <x/>
    </i>
    <i>
      <x v="1"/>
    </i>
    <i>
      <x v="2"/>
    </i>
    <i>
      <x v="3"/>
    </i>
    <i>
      <x v="4"/>
    </i>
    <i>
      <x v="5"/>
    </i>
    <i>
      <x v="6"/>
    </i>
    <i>
      <x v="7"/>
    </i>
    <i>
      <x v="8"/>
    </i>
    <i t="grand">
      <x/>
    </i>
  </rowItems>
  <colItems count="1">
    <i/>
  </colItems>
  <dataFields count="1">
    <dataField name="Sum of Fare_INR" fld="8" baseField="0" baseItem="0"/>
  </dataFields>
  <chartFormats count="2">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74C110F-5B5E-4FE0-AD41-B2A3597C31EA}"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J1:K5" firstHeaderRow="1" firstDataRow="1" firstDataCol="1"/>
  <pivotFields count="14">
    <pivotField dataField="1"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numFmtId="15" showAll="0"/>
    <pivotField showAll="0"/>
    <pivotField showAll="0"/>
    <pivotField showAll="0"/>
    <pivotField showAll="0"/>
    <pivotField axis="axisRow" showAll="0">
      <items count="4">
        <item x="1"/>
        <item x="2"/>
        <item x="0"/>
        <item t="default"/>
      </items>
    </pivotField>
    <pivotField showAll="0"/>
    <pivotField showAll="0"/>
    <pivotField showAll="0"/>
    <pivotField showAll="0"/>
    <pivotField showAll="0"/>
    <pivotField showAll="0"/>
    <pivotField showAll="0"/>
  </pivotFields>
  <rowFields count="1">
    <field x="6"/>
  </rowFields>
  <rowItems count="4">
    <i>
      <x/>
    </i>
    <i>
      <x v="1"/>
    </i>
    <i>
      <x v="2"/>
    </i>
    <i t="grand">
      <x/>
    </i>
  </rowItems>
  <colItems count="1">
    <i/>
  </colItems>
  <dataFields count="1">
    <dataField name="Count of Ride_ID" fld="0" subtotal="count" baseField="0" baseItem="0"/>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6" count="1" selected="0">
            <x v="0"/>
          </reference>
        </references>
      </pivotArea>
    </chartFormat>
    <chartFormat chart="0" format="2">
      <pivotArea type="data" outline="0" fieldPosition="0">
        <references count="2">
          <reference field="4294967294" count="1" selected="0">
            <x v="0"/>
          </reference>
          <reference field="6" count="1" selected="0">
            <x v="1"/>
          </reference>
        </references>
      </pivotArea>
    </chartFormat>
    <chartFormat chart="0" format="3">
      <pivotArea type="data" outline="0" fieldPosition="0">
        <references count="2">
          <reference field="4294967294" count="1" selected="0">
            <x v="0"/>
          </reference>
          <reference field="6" count="1" selected="0">
            <x v="2"/>
          </reference>
        </references>
      </pivotArea>
    </chartFormat>
    <chartFormat chart="2" format="8" series="1">
      <pivotArea type="data" outline="0" fieldPosition="0">
        <references count="1">
          <reference field="4294967294" count="1" selected="0">
            <x v="0"/>
          </reference>
        </references>
      </pivotArea>
    </chartFormat>
    <chartFormat chart="2" format="9">
      <pivotArea type="data" outline="0" fieldPosition="0">
        <references count="2">
          <reference field="4294967294" count="1" selected="0">
            <x v="0"/>
          </reference>
          <reference field="6" count="1" selected="0">
            <x v="0"/>
          </reference>
        </references>
      </pivotArea>
    </chartFormat>
    <chartFormat chart="2" format="10">
      <pivotArea type="data" outline="0" fieldPosition="0">
        <references count="2">
          <reference field="4294967294" count="1" selected="0">
            <x v="0"/>
          </reference>
          <reference field="6" count="1" selected="0">
            <x v="1"/>
          </reference>
        </references>
      </pivotArea>
    </chartFormat>
    <chartFormat chart="2" format="11">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B9BED8A-792F-42DE-99A3-51522868A281}"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D1:E6" firstHeaderRow="1" firstDataRow="1" firstDataCol="1"/>
  <pivotFields count="14">
    <pivotField dataField="1"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numFmtId="15" showAll="0"/>
    <pivotField showAll="0"/>
    <pivotField axis="axisRow" showAll="0">
      <items count="5">
        <item x="3"/>
        <item x="2"/>
        <item x="0"/>
        <item x="1"/>
        <item t="default"/>
      </items>
    </pivotField>
    <pivotField showAll="0"/>
    <pivotField showAll="0"/>
    <pivotField showAll="0"/>
    <pivotField showAll="0"/>
    <pivotField showAll="0"/>
    <pivotField showAll="0"/>
    <pivotField showAll="0"/>
    <pivotField showAll="0"/>
    <pivotField showAll="0"/>
    <pivotField showAll="0"/>
  </pivotFields>
  <rowFields count="1">
    <field x="3"/>
  </rowFields>
  <rowItems count="5">
    <i>
      <x/>
    </i>
    <i>
      <x v="1"/>
    </i>
    <i>
      <x v="2"/>
    </i>
    <i>
      <x v="3"/>
    </i>
    <i t="grand">
      <x/>
    </i>
  </rowItems>
  <colItems count="1">
    <i/>
  </colItems>
  <dataFields count="1">
    <dataField name="Count of Ride_ID" fld="0" subtotal="count" baseField="0" baseItem="0"/>
  </dataFields>
  <chartFormats count="3">
    <chartFormat chart="0" format="0"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4C8CC8A-8E21-438E-96C7-BD85285B0041}"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P1:Q5" firstHeaderRow="1" firstDataRow="1" firstDataCol="1"/>
  <pivotFields count="14">
    <pivotField dataField="1"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numFmtId="15" showAll="0"/>
    <pivotField showAll="0"/>
    <pivotField showAll="0"/>
    <pivotField showAll="0"/>
    <pivotField axis="axisRow" showAll="0">
      <items count="4">
        <item x="1"/>
        <item x="2"/>
        <item x="0"/>
        <item t="default"/>
      </items>
    </pivotField>
    <pivotField showAll="0"/>
    <pivotField showAll="0"/>
    <pivotField showAll="0"/>
    <pivotField showAll="0"/>
    <pivotField showAll="0"/>
    <pivotField showAll="0"/>
    <pivotField showAll="0"/>
    <pivotField showAll="0"/>
  </pivotFields>
  <rowFields count="1">
    <field x="5"/>
  </rowFields>
  <rowItems count="4">
    <i>
      <x/>
    </i>
    <i>
      <x v="1"/>
    </i>
    <i>
      <x v="2"/>
    </i>
    <i t="grand">
      <x/>
    </i>
  </rowItems>
  <colItems count="1">
    <i/>
  </colItems>
  <dataFields count="1">
    <dataField name="Count of Ride_ID" fld="0" subtotal="count"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73F8CB8-B594-47E3-B5EE-1AE4A15EFA2D}"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V1:W4" firstHeaderRow="1" firstDataRow="1" firstDataCol="1"/>
  <pivotFields count="14">
    <pivotField dataField="1"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numFmtId="15" showAll="0"/>
    <pivotField showAll="0"/>
    <pivotField showAll="0"/>
    <pivotField showAll="0"/>
    <pivotField showAll="0"/>
    <pivotField showAll="0"/>
    <pivotField showAll="0"/>
    <pivotField showAll="0"/>
    <pivotField showAll="0"/>
    <pivotField showAll="0"/>
    <pivotField showAll="0"/>
    <pivotField showAll="0"/>
    <pivotField axis="axisRow" showAll="0">
      <items count="3">
        <item x="1"/>
        <item x="0"/>
        <item t="default"/>
      </items>
    </pivotField>
  </pivotFields>
  <rowFields count="1">
    <field x="13"/>
  </rowFields>
  <rowItems count="3">
    <i>
      <x/>
    </i>
    <i>
      <x v="1"/>
    </i>
    <i t="grand">
      <x/>
    </i>
  </rowItems>
  <colItems count="1">
    <i/>
  </colItems>
  <dataFields count="1">
    <dataField name="Count of Ride_ID" fld="0" subtotal="count" baseField="0" baseItem="0"/>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3" count="1" selected="0">
            <x v="0"/>
          </reference>
        </references>
      </pivotArea>
    </chartFormat>
    <chartFormat chart="0" format="2">
      <pivotArea type="data" outline="0" fieldPosition="0">
        <references count="2">
          <reference field="4294967294" count="1" selected="0">
            <x v="0"/>
          </reference>
          <reference field="13" count="1" selected="0">
            <x v="1"/>
          </reference>
        </references>
      </pivotArea>
    </chartFormat>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13" count="1" selected="0">
            <x v="0"/>
          </reference>
        </references>
      </pivotArea>
    </chartFormat>
    <chartFormat chart="2" format="8">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42BF0E6F-8C94-496E-AED5-200C068F399E}" sourceName="City">
  <pivotTables>
    <pivotTable tabId="3" name="PivotTable1"/>
  </pivotTables>
  <data>
    <tabular pivotCacheId="1656773406">
      <items count="7">
        <i x="0" s="1"/>
        <i x="4" s="1"/>
        <i x="2" s="1"/>
        <i x="3" s="1"/>
        <i x="6" s="1"/>
        <i x="1" s="1"/>
        <i x="5"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Vehicle_Type" xr10:uid="{8F4C1A3E-4F18-4F04-9DF2-3A88CFA73E8C}" sourceName="Vehicle_Type">
  <pivotTables>
    <pivotTable tabId="3" name="PivotTable2"/>
  </pivotTables>
  <data>
    <tabular pivotCacheId="1656773406">
      <items count="4">
        <i x="3" s="1"/>
        <i x="2"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rip_Type" xr10:uid="{0E5CDF51-1381-4147-94F5-533032A13C1A}" sourceName="Trip_Type">
  <pivotTables>
    <pivotTable tabId="3" name="PivotTable6"/>
  </pivotTables>
  <data>
    <tabular pivotCacheId="1656773406">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E68C864E-A774-4700-B990-42BB5B6C93FD}" cache="Slicer_City" caption="City" rowHeight="251883"/>
  <slicer name="Vehicle_Type" xr10:uid="{523BB012-35E6-46CB-9216-F6703A044244}" cache="Slicer_Vehicle_Type" caption="Vehicle_Type" rowHeight="251883"/>
  <slicer name="Trip_Type" xr10:uid="{99A43FEC-9F52-4A96-B1F3-CD3BD64FAED3}" cache="Slicer_Trip_Type" caption="Trip_Type"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1" xr10:uid="{6550C594-324E-4841-AE35-A03757E71D4C}" cache="Slicer_City" caption="City" rowHeight="251883"/>
  <slicer name="Vehicle_Type 1" xr10:uid="{8B100E90-B8CA-4D44-B2E8-2B41E888F8D2}" cache="Slicer_Vehicle_Type" caption="Vehicle_Type" rowHeight="251883"/>
  <slicer name="Trip_Type 1" xr10:uid="{2D45EFB1-B476-4DFD-9437-0562EE6CA32F}" cache="Slicer_Trip_Type" caption="Trip_Type"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ABCF060-C25B-4CC6-9B4F-4C1366099425}" name="Table1" displayName="Table1" ref="A1:N51" totalsRowShown="0" headerRowDxfId="15" dataDxfId="14">
  <autoFilter ref="A1:N51" xr:uid="{DABCF060-C25B-4CC6-9B4F-4C1366099425}"/>
  <tableColumns count="14">
    <tableColumn id="1" xr3:uid="{5EF93424-08D6-42BD-8926-D94116318EC9}" name="Ride_ID" dataDxfId="13"/>
    <tableColumn id="2" xr3:uid="{F48246D9-703A-41C5-B344-92CE99627800}" name="Date" dataDxfId="12"/>
    <tableColumn id="3" xr3:uid="{0FFE8DB3-0AAC-42D4-B7ED-A10EC97898C3}" name="City" dataDxfId="11"/>
    <tableColumn id="4" xr3:uid="{E36738B4-A321-4200-AB70-6B720A82EA46}" name="Vehicle_Type" dataDxfId="10"/>
    <tableColumn id="5" xr3:uid="{F8C45096-64D0-4AC9-A268-EB580EF071EB}" name="Trip_Type" dataDxfId="9"/>
    <tableColumn id="6" xr3:uid="{B5BECBFE-F81D-4264-8871-715A1C55A590}" name="Customer_Type" dataDxfId="8"/>
    <tableColumn id="7" xr3:uid="{21744897-1DC5-47F1-9472-93851624F457}" name="Payment_Mode" dataDxfId="7"/>
    <tableColumn id="8" xr3:uid="{9DFC08C6-C898-4DD5-B226-E53420144A9E}" name="Distance_KM" dataDxfId="6"/>
    <tableColumn id="9" xr3:uid="{E6855C6C-D8D1-4946-AC72-1E63A9005FCD}" name="Fare_INR" dataDxfId="5"/>
    <tableColumn id="10" xr3:uid="{D3CDC1FF-C1C6-4E36-8708-8F26FBA08C51}" name="Discount_INR" dataDxfId="4"/>
    <tableColumn id="11" xr3:uid="{43A21496-A123-4779-A4A8-1765FEC93FE7}" name="Driver_Rating" dataDxfId="3"/>
    <tableColumn id="12" xr3:uid="{C972BB80-2947-4C3A-95AB-93CEB7F058A8}" name="Customer_Rating" dataDxfId="2"/>
    <tableColumn id="13" xr3:uid="{A97E015D-20C7-4187-A3D1-52E34E244D80}" name="Trip_Duration_Min" dataDxfId="1"/>
    <tableColumn id="14" xr3:uid="{3A37BA51-9C02-42FA-B3A4-E18894522C7E}" name="Status" dataDxfId="0"/>
  </tableColumns>
  <tableStyleInfo name="TableStyleLight4"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3BB0AF4-04EA-4B58-AEF7-89891F6B4B78}" name="Table2" displayName="Table2" ref="D2:D7" totalsRowShown="0">
  <autoFilter ref="D2:D7" xr:uid="{D3BB0AF4-04EA-4B58-AEF7-89891F6B4B78}"/>
  <tableColumns count="1">
    <tableColumn id="1" xr3:uid="{AAF7F9D1-7D0D-4A89-9E29-5981C0684983}" name="ANSWER"/>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07/relationships/slicer" Target="../slicers/slicer1.xml"/><Relationship Id="rId4" Type="http://schemas.openxmlformats.org/officeDocument/2006/relationships/pivotTable" Target="../pivotTables/pivotTable4.xml"/><Relationship Id="rId9"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05C497-0E56-43AE-8C5B-AD63BA2131E1}">
  <dimension ref="A1:N51"/>
  <sheetViews>
    <sheetView zoomScale="84" zoomScaleNormal="84" workbookViewId="0">
      <selection activeCell="A2" sqref="A2:N51"/>
    </sheetView>
  </sheetViews>
  <sheetFormatPr defaultRowHeight="14.5" x14ac:dyDescent="0.35"/>
  <cols>
    <col min="1" max="1" width="10.1796875" customWidth="1"/>
    <col min="2" max="2" width="14.7265625" customWidth="1"/>
    <col min="4" max="4" width="13.81640625" customWidth="1"/>
    <col min="5" max="5" width="10.7265625" customWidth="1"/>
    <col min="6" max="6" width="15.7265625" customWidth="1"/>
    <col min="7" max="7" width="15.54296875" customWidth="1"/>
    <col min="8" max="8" width="13.6328125" customWidth="1"/>
    <col min="9" max="9" width="10.26953125" customWidth="1"/>
    <col min="10" max="10" width="14.1796875" customWidth="1"/>
    <col min="11" max="11" width="14" customWidth="1"/>
    <col min="12" max="12" width="17.1796875" customWidth="1"/>
    <col min="13" max="13" width="18" customWidth="1"/>
  </cols>
  <sheetData>
    <row r="1" spans="1:14" ht="43.5" x14ac:dyDescent="0.35">
      <c r="A1" s="1" t="s">
        <v>0</v>
      </c>
      <c r="B1" s="1" t="s">
        <v>1</v>
      </c>
      <c r="C1" s="1" t="s">
        <v>2</v>
      </c>
      <c r="D1" s="1" t="s">
        <v>3</v>
      </c>
      <c r="E1" s="1" t="s">
        <v>4</v>
      </c>
      <c r="F1" s="1" t="s">
        <v>5</v>
      </c>
      <c r="G1" s="1" t="s">
        <v>6</v>
      </c>
      <c r="H1" s="3" t="s">
        <v>7</v>
      </c>
      <c r="I1" s="3" t="s">
        <v>8</v>
      </c>
      <c r="J1" s="3" t="s">
        <v>9</v>
      </c>
      <c r="K1" s="3" t="s">
        <v>10</v>
      </c>
      <c r="L1" s="3" t="s">
        <v>11</v>
      </c>
      <c r="M1" s="3" t="s">
        <v>12</v>
      </c>
      <c r="N1" s="1" t="s">
        <v>13</v>
      </c>
    </row>
    <row r="2" spans="1:14" ht="29" x14ac:dyDescent="0.35">
      <c r="A2" s="4" t="s">
        <v>14</v>
      </c>
      <c r="B2" s="5">
        <v>46235</v>
      </c>
      <c r="C2" s="4" t="s">
        <v>15</v>
      </c>
      <c r="D2" s="4" t="s">
        <v>16</v>
      </c>
      <c r="E2" s="4" t="s">
        <v>2</v>
      </c>
      <c r="F2" s="4" t="s">
        <v>17</v>
      </c>
      <c r="G2" s="4" t="s">
        <v>18</v>
      </c>
      <c r="H2" s="2">
        <v>8.5</v>
      </c>
      <c r="I2" s="2">
        <v>245</v>
      </c>
      <c r="J2" s="2">
        <v>20</v>
      </c>
      <c r="K2" s="2">
        <v>4.8</v>
      </c>
      <c r="L2" s="2">
        <v>4.7</v>
      </c>
      <c r="M2" s="2">
        <v>28</v>
      </c>
      <c r="N2" s="4" t="s">
        <v>19</v>
      </c>
    </row>
    <row r="3" spans="1:14" ht="29" x14ac:dyDescent="0.35">
      <c r="A3" s="4" t="s">
        <v>20</v>
      </c>
      <c r="B3" s="5">
        <v>46235</v>
      </c>
      <c r="C3" s="4" t="s">
        <v>21</v>
      </c>
      <c r="D3" s="4" t="s">
        <v>16</v>
      </c>
      <c r="E3" s="4" t="s">
        <v>2</v>
      </c>
      <c r="F3" s="4" t="s">
        <v>22</v>
      </c>
      <c r="G3" s="4" t="s">
        <v>23</v>
      </c>
      <c r="H3" s="2">
        <v>12.2</v>
      </c>
      <c r="I3" s="2">
        <v>385</v>
      </c>
      <c r="J3" s="2">
        <v>50</v>
      </c>
      <c r="K3" s="2">
        <v>4.5999999999999996</v>
      </c>
      <c r="L3" s="2">
        <v>4.5</v>
      </c>
      <c r="M3" s="2">
        <v>41</v>
      </c>
      <c r="N3" s="4" t="s">
        <v>19</v>
      </c>
    </row>
    <row r="4" spans="1:14" ht="29" x14ac:dyDescent="0.35">
      <c r="A4" s="4" t="s">
        <v>24</v>
      </c>
      <c r="B4" s="5">
        <v>46235</v>
      </c>
      <c r="C4" s="4" t="s">
        <v>25</v>
      </c>
      <c r="D4" s="4" t="s">
        <v>26</v>
      </c>
      <c r="E4" s="4" t="s">
        <v>27</v>
      </c>
      <c r="F4" s="4" t="s">
        <v>17</v>
      </c>
      <c r="G4" s="4" t="s">
        <v>18</v>
      </c>
      <c r="H4" s="2">
        <v>24.5</v>
      </c>
      <c r="I4" s="2">
        <v>720</v>
      </c>
      <c r="J4" s="2">
        <v>80</v>
      </c>
      <c r="K4" s="2">
        <v>4.9000000000000004</v>
      </c>
      <c r="L4" s="2">
        <v>4.8</v>
      </c>
      <c r="M4" s="2">
        <v>55</v>
      </c>
      <c r="N4" s="4" t="s">
        <v>19</v>
      </c>
    </row>
    <row r="5" spans="1:14" ht="29" x14ac:dyDescent="0.35">
      <c r="A5" s="4" t="s">
        <v>28</v>
      </c>
      <c r="B5" s="5">
        <v>46235</v>
      </c>
      <c r="C5" s="4" t="s">
        <v>29</v>
      </c>
      <c r="D5" s="4" t="s">
        <v>16</v>
      </c>
      <c r="E5" s="4" t="s">
        <v>2</v>
      </c>
      <c r="F5" s="4" t="s">
        <v>17</v>
      </c>
      <c r="G5" s="4" t="s">
        <v>30</v>
      </c>
      <c r="H5" s="2">
        <v>6.8</v>
      </c>
      <c r="I5" s="2">
        <v>190</v>
      </c>
      <c r="J5" s="2">
        <v>0</v>
      </c>
      <c r="K5" s="2">
        <v>4.5</v>
      </c>
      <c r="L5" s="2">
        <v>4.5999999999999996</v>
      </c>
      <c r="M5" s="2">
        <v>22</v>
      </c>
      <c r="N5" s="4" t="s">
        <v>19</v>
      </c>
    </row>
    <row r="6" spans="1:14" ht="29" x14ac:dyDescent="0.35">
      <c r="A6" s="4" t="s">
        <v>31</v>
      </c>
      <c r="B6" s="5">
        <v>46235</v>
      </c>
      <c r="C6" s="4" t="s">
        <v>32</v>
      </c>
      <c r="D6" s="4" t="s">
        <v>33</v>
      </c>
      <c r="E6" s="4" t="s">
        <v>2</v>
      </c>
      <c r="F6" s="4" t="s">
        <v>34</v>
      </c>
      <c r="G6" s="4" t="s">
        <v>23</v>
      </c>
      <c r="H6" s="2">
        <v>10.4</v>
      </c>
      <c r="I6" s="2">
        <v>410</v>
      </c>
      <c r="J6" s="2">
        <v>30</v>
      </c>
      <c r="K6" s="2">
        <v>4.9000000000000004</v>
      </c>
      <c r="L6" s="2">
        <v>4.9000000000000004</v>
      </c>
      <c r="M6" s="2">
        <v>35</v>
      </c>
      <c r="N6" s="4" t="s">
        <v>19</v>
      </c>
    </row>
    <row r="7" spans="1:14" ht="29" x14ac:dyDescent="0.35">
      <c r="A7" s="4" t="s">
        <v>35</v>
      </c>
      <c r="B7" s="5">
        <v>46236</v>
      </c>
      <c r="C7" s="4" t="s">
        <v>36</v>
      </c>
      <c r="D7" s="4" t="s">
        <v>16</v>
      </c>
      <c r="E7" s="4" t="s">
        <v>2</v>
      </c>
      <c r="F7" s="4" t="s">
        <v>22</v>
      </c>
      <c r="G7" s="4" t="s">
        <v>18</v>
      </c>
      <c r="H7" s="2">
        <v>7.2</v>
      </c>
      <c r="I7" s="2">
        <v>215</v>
      </c>
      <c r="J7" s="2">
        <v>25</v>
      </c>
      <c r="K7" s="2">
        <v>4.7</v>
      </c>
      <c r="L7" s="2">
        <v>4.4000000000000004</v>
      </c>
      <c r="M7" s="2">
        <v>25</v>
      </c>
      <c r="N7" s="4" t="s">
        <v>19</v>
      </c>
    </row>
    <row r="8" spans="1:14" ht="29" x14ac:dyDescent="0.35">
      <c r="A8" s="4" t="s">
        <v>37</v>
      </c>
      <c r="B8" s="5">
        <v>46236</v>
      </c>
      <c r="C8" s="4" t="s">
        <v>15</v>
      </c>
      <c r="D8" s="4" t="s">
        <v>38</v>
      </c>
      <c r="E8" s="4" t="s">
        <v>2</v>
      </c>
      <c r="F8" s="4" t="s">
        <v>17</v>
      </c>
      <c r="G8" s="4" t="s">
        <v>18</v>
      </c>
      <c r="H8" s="2">
        <v>4.5</v>
      </c>
      <c r="I8" s="2">
        <v>105</v>
      </c>
      <c r="J8" s="2">
        <v>10</v>
      </c>
      <c r="K8" s="2">
        <v>4.5999999999999996</v>
      </c>
      <c r="L8" s="2">
        <v>4.5</v>
      </c>
      <c r="M8" s="2">
        <v>18</v>
      </c>
      <c r="N8" s="4" t="s">
        <v>19</v>
      </c>
    </row>
    <row r="9" spans="1:14" ht="29" x14ac:dyDescent="0.35">
      <c r="A9" s="4" t="s">
        <v>39</v>
      </c>
      <c r="B9" s="5">
        <v>46236</v>
      </c>
      <c r="C9" s="4" t="s">
        <v>21</v>
      </c>
      <c r="D9" s="4" t="s">
        <v>26</v>
      </c>
      <c r="E9" s="4" t="s">
        <v>27</v>
      </c>
      <c r="F9" s="4" t="s">
        <v>34</v>
      </c>
      <c r="G9" s="4" t="s">
        <v>23</v>
      </c>
      <c r="H9" s="2">
        <v>28.7</v>
      </c>
      <c r="I9" s="2">
        <v>890</v>
      </c>
      <c r="J9" s="2">
        <v>100</v>
      </c>
      <c r="K9" s="2">
        <v>4.8</v>
      </c>
      <c r="L9" s="2">
        <v>4.9000000000000004</v>
      </c>
      <c r="M9" s="2">
        <v>67</v>
      </c>
      <c r="N9" s="4" t="s">
        <v>19</v>
      </c>
    </row>
    <row r="10" spans="1:14" ht="29" x14ac:dyDescent="0.35">
      <c r="A10" s="4" t="s">
        <v>40</v>
      </c>
      <c r="B10" s="5">
        <v>46236</v>
      </c>
      <c r="C10" s="4" t="s">
        <v>25</v>
      </c>
      <c r="D10" s="4" t="s">
        <v>16</v>
      </c>
      <c r="E10" s="4" t="s">
        <v>2</v>
      </c>
      <c r="F10" s="4" t="s">
        <v>17</v>
      </c>
      <c r="G10" s="4" t="s">
        <v>30</v>
      </c>
      <c r="H10" s="2">
        <v>9.8000000000000007</v>
      </c>
      <c r="I10" s="2">
        <v>290</v>
      </c>
      <c r="J10" s="2">
        <v>0</v>
      </c>
      <c r="K10" s="2">
        <v>4.4000000000000004</v>
      </c>
      <c r="L10" s="2">
        <v>4.2</v>
      </c>
      <c r="M10" s="2">
        <v>31</v>
      </c>
      <c r="N10" s="4" t="s">
        <v>19</v>
      </c>
    </row>
    <row r="11" spans="1:14" ht="29" x14ac:dyDescent="0.35">
      <c r="A11" s="4" t="s">
        <v>41</v>
      </c>
      <c r="B11" s="5">
        <v>46236</v>
      </c>
      <c r="C11" s="4" t="s">
        <v>42</v>
      </c>
      <c r="D11" s="4" t="s">
        <v>16</v>
      </c>
      <c r="E11" s="4" t="s">
        <v>27</v>
      </c>
      <c r="F11" s="4" t="s">
        <v>22</v>
      </c>
      <c r="G11" s="4" t="s">
        <v>18</v>
      </c>
      <c r="H11" s="2">
        <v>18.5</v>
      </c>
      <c r="I11" s="2">
        <v>540</v>
      </c>
      <c r="J11" s="2">
        <v>60</v>
      </c>
      <c r="K11" s="2">
        <v>4.7</v>
      </c>
      <c r="L11" s="2">
        <v>4.5999999999999996</v>
      </c>
      <c r="M11" s="2">
        <v>44</v>
      </c>
      <c r="N11" s="4" t="s">
        <v>19</v>
      </c>
    </row>
    <row r="12" spans="1:14" ht="29" x14ac:dyDescent="0.35">
      <c r="A12" s="4" t="s">
        <v>43</v>
      </c>
      <c r="B12" s="5">
        <v>46237</v>
      </c>
      <c r="C12" s="4" t="s">
        <v>15</v>
      </c>
      <c r="D12" s="4" t="s">
        <v>33</v>
      </c>
      <c r="E12" s="4" t="s">
        <v>2</v>
      </c>
      <c r="F12" s="4" t="s">
        <v>34</v>
      </c>
      <c r="G12" s="4" t="s">
        <v>23</v>
      </c>
      <c r="H12" s="2">
        <v>14.2</v>
      </c>
      <c r="I12" s="2">
        <v>560</v>
      </c>
      <c r="J12" s="2">
        <v>40</v>
      </c>
      <c r="K12" s="2">
        <v>4.9000000000000004</v>
      </c>
      <c r="L12" s="2">
        <v>4.8</v>
      </c>
      <c r="M12" s="2">
        <v>43</v>
      </c>
      <c r="N12" s="4" t="s">
        <v>19</v>
      </c>
    </row>
    <row r="13" spans="1:14" ht="29" x14ac:dyDescent="0.35">
      <c r="A13" s="4" t="s">
        <v>44</v>
      </c>
      <c r="B13" s="5">
        <v>46237</v>
      </c>
      <c r="C13" s="4" t="s">
        <v>21</v>
      </c>
      <c r="D13" s="4" t="s">
        <v>16</v>
      </c>
      <c r="E13" s="4" t="s">
        <v>2</v>
      </c>
      <c r="F13" s="4" t="s">
        <v>17</v>
      </c>
      <c r="G13" s="4" t="s">
        <v>18</v>
      </c>
      <c r="H13" s="2">
        <v>5.7</v>
      </c>
      <c r="I13" s="2">
        <v>175</v>
      </c>
      <c r="J13" s="2">
        <v>15</v>
      </c>
      <c r="K13" s="2">
        <v>4.5999999999999996</v>
      </c>
      <c r="L13" s="2">
        <v>4.7</v>
      </c>
      <c r="M13" s="2">
        <v>20</v>
      </c>
      <c r="N13" s="4" t="s">
        <v>19</v>
      </c>
    </row>
    <row r="14" spans="1:14" ht="29" x14ac:dyDescent="0.35">
      <c r="A14" s="4" t="s">
        <v>45</v>
      </c>
      <c r="B14" s="5">
        <v>46237</v>
      </c>
      <c r="C14" s="4" t="s">
        <v>25</v>
      </c>
      <c r="D14" s="4" t="s">
        <v>38</v>
      </c>
      <c r="E14" s="4" t="s">
        <v>2</v>
      </c>
      <c r="F14" s="4" t="s">
        <v>22</v>
      </c>
      <c r="G14" s="4" t="s">
        <v>30</v>
      </c>
      <c r="H14" s="2">
        <v>3.8</v>
      </c>
      <c r="I14" s="2">
        <v>90</v>
      </c>
      <c r="J14" s="2">
        <v>0</v>
      </c>
      <c r="K14" s="2">
        <v>4.3</v>
      </c>
      <c r="L14" s="2">
        <v>4.0999999999999996</v>
      </c>
      <c r="M14" s="2">
        <v>16</v>
      </c>
      <c r="N14" s="4" t="s">
        <v>19</v>
      </c>
    </row>
    <row r="15" spans="1:14" ht="29" x14ac:dyDescent="0.35">
      <c r="A15" s="4" t="s">
        <v>46</v>
      </c>
      <c r="B15" s="5">
        <v>46237</v>
      </c>
      <c r="C15" s="4" t="s">
        <v>29</v>
      </c>
      <c r="D15" s="4" t="s">
        <v>26</v>
      </c>
      <c r="E15" s="4" t="s">
        <v>27</v>
      </c>
      <c r="F15" s="4" t="s">
        <v>17</v>
      </c>
      <c r="G15" s="4" t="s">
        <v>23</v>
      </c>
      <c r="H15" s="2">
        <v>22.4</v>
      </c>
      <c r="I15" s="2">
        <v>680</v>
      </c>
      <c r="J15" s="2">
        <v>70</v>
      </c>
      <c r="K15" s="2">
        <v>4.8</v>
      </c>
      <c r="L15" s="2">
        <v>4.7</v>
      </c>
      <c r="M15" s="2">
        <v>52</v>
      </c>
      <c r="N15" s="4" t="s">
        <v>19</v>
      </c>
    </row>
    <row r="16" spans="1:14" ht="29" x14ac:dyDescent="0.35">
      <c r="A16" s="4" t="s">
        <v>47</v>
      </c>
      <c r="B16" s="5">
        <v>46237</v>
      </c>
      <c r="C16" s="4" t="s">
        <v>32</v>
      </c>
      <c r="D16" s="4" t="s">
        <v>16</v>
      </c>
      <c r="E16" s="4" t="s">
        <v>2</v>
      </c>
      <c r="F16" s="4" t="s">
        <v>17</v>
      </c>
      <c r="G16" s="4" t="s">
        <v>18</v>
      </c>
      <c r="H16" s="2">
        <v>8.9</v>
      </c>
      <c r="I16" s="2">
        <v>260</v>
      </c>
      <c r="J16" s="2">
        <v>20</v>
      </c>
      <c r="K16" s="2">
        <v>4.7</v>
      </c>
      <c r="L16" s="2">
        <v>4.5999999999999996</v>
      </c>
      <c r="M16" s="2">
        <v>29</v>
      </c>
      <c r="N16" s="4" t="s">
        <v>19</v>
      </c>
    </row>
    <row r="17" spans="1:14" ht="29" x14ac:dyDescent="0.35">
      <c r="A17" s="4" t="s">
        <v>48</v>
      </c>
      <c r="B17" s="5">
        <v>46237</v>
      </c>
      <c r="C17" s="4" t="s">
        <v>36</v>
      </c>
      <c r="D17" s="4" t="s">
        <v>33</v>
      </c>
      <c r="E17" s="4" t="s">
        <v>2</v>
      </c>
      <c r="F17" s="4" t="s">
        <v>34</v>
      </c>
      <c r="G17" s="4" t="s">
        <v>23</v>
      </c>
      <c r="H17" s="2">
        <v>11.5</v>
      </c>
      <c r="I17" s="2">
        <v>450</v>
      </c>
      <c r="J17" s="2">
        <v>35</v>
      </c>
      <c r="K17" s="2">
        <v>4.9000000000000004</v>
      </c>
      <c r="L17" s="2">
        <v>4.9000000000000004</v>
      </c>
      <c r="M17" s="2">
        <v>37</v>
      </c>
      <c r="N17" s="4" t="s">
        <v>19</v>
      </c>
    </row>
    <row r="18" spans="1:14" ht="29" x14ac:dyDescent="0.35">
      <c r="A18" s="4" t="s">
        <v>49</v>
      </c>
      <c r="B18" s="5">
        <v>46238</v>
      </c>
      <c r="C18" s="4" t="s">
        <v>15</v>
      </c>
      <c r="D18" s="4" t="s">
        <v>16</v>
      </c>
      <c r="E18" s="4" t="s">
        <v>2</v>
      </c>
      <c r="F18" s="4" t="s">
        <v>22</v>
      </c>
      <c r="G18" s="4" t="s">
        <v>18</v>
      </c>
      <c r="H18" s="2">
        <v>6.4</v>
      </c>
      <c r="I18" s="2">
        <v>185</v>
      </c>
      <c r="J18" s="2">
        <v>20</v>
      </c>
      <c r="K18" s="2">
        <v>4.5</v>
      </c>
      <c r="L18" s="2">
        <v>4.3</v>
      </c>
      <c r="M18" s="2">
        <v>23</v>
      </c>
      <c r="N18" s="4" t="s">
        <v>50</v>
      </c>
    </row>
    <row r="19" spans="1:14" ht="29" x14ac:dyDescent="0.35">
      <c r="A19" s="4" t="s">
        <v>51</v>
      </c>
      <c r="B19" s="5">
        <v>46238</v>
      </c>
      <c r="C19" s="4" t="s">
        <v>21</v>
      </c>
      <c r="D19" s="4" t="s">
        <v>16</v>
      </c>
      <c r="E19" s="4" t="s">
        <v>2</v>
      </c>
      <c r="F19" s="4" t="s">
        <v>17</v>
      </c>
      <c r="G19" s="4" t="s">
        <v>30</v>
      </c>
      <c r="H19" s="2">
        <v>10.6</v>
      </c>
      <c r="I19" s="2">
        <v>320</v>
      </c>
      <c r="J19" s="2">
        <v>0</v>
      </c>
      <c r="K19" s="2">
        <v>4.7</v>
      </c>
      <c r="L19" s="2">
        <v>4.5</v>
      </c>
      <c r="M19" s="2">
        <v>34</v>
      </c>
      <c r="N19" s="4" t="s">
        <v>19</v>
      </c>
    </row>
    <row r="20" spans="1:14" ht="29" x14ac:dyDescent="0.35">
      <c r="A20" s="4" t="s">
        <v>52</v>
      </c>
      <c r="B20" s="5">
        <v>46238</v>
      </c>
      <c r="C20" s="4" t="s">
        <v>25</v>
      </c>
      <c r="D20" s="4" t="s">
        <v>33</v>
      </c>
      <c r="E20" s="4" t="s">
        <v>27</v>
      </c>
      <c r="F20" s="4" t="s">
        <v>34</v>
      </c>
      <c r="G20" s="4" t="s">
        <v>23</v>
      </c>
      <c r="H20" s="2">
        <v>26.3</v>
      </c>
      <c r="I20" s="2">
        <v>840</v>
      </c>
      <c r="J20" s="2">
        <v>90</v>
      </c>
      <c r="K20" s="2">
        <v>4.9000000000000004</v>
      </c>
      <c r="L20" s="2">
        <v>4.8</v>
      </c>
      <c r="M20" s="2">
        <v>61</v>
      </c>
      <c r="N20" s="4" t="s">
        <v>19</v>
      </c>
    </row>
    <row r="21" spans="1:14" ht="29" x14ac:dyDescent="0.35">
      <c r="A21" s="4" t="s">
        <v>53</v>
      </c>
      <c r="B21" s="5">
        <v>46238</v>
      </c>
      <c r="C21" s="4" t="s">
        <v>42</v>
      </c>
      <c r="D21" s="4" t="s">
        <v>38</v>
      </c>
      <c r="E21" s="4" t="s">
        <v>2</v>
      </c>
      <c r="F21" s="4" t="s">
        <v>17</v>
      </c>
      <c r="G21" s="4" t="s">
        <v>18</v>
      </c>
      <c r="H21" s="2">
        <v>5.0999999999999996</v>
      </c>
      <c r="I21" s="2">
        <v>115</v>
      </c>
      <c r="J21" s="2">
        <v>10</v>
      </c>
      <c r="K21" s="2">
        <v>4.5</v>
      </c>
      <c r="L21" s="2">
        <v>4.4000000000000004</v>
      </c>
      <c r="M21" s="2">
        <v>19</v>
      </c>
      <c r="N21" s="4" t="s">
        <v>19</v>
      </c>
    </row>
    <row r="22" spans="1:14" ht="29" x14ac:dyDescent="0.35">
      <c r="A22" s="4" t="s">
        <v>54</v>
      </c>
      <c r="B22" s="5">
        <v>46238</v>
      </c>
      <c r="C22" s="4" t="s">
        <v>29</v>
      </c>
      <c r="D22" s="4" t="s">
        <v>16</v>
      </c>
      <c r="E22" s="4" t="s">
        <v>2</v>
      </c>
      <c r="F22" s="4" t="s">
        <v>17</v>
      </c>
      <c r="G22" s="4" t="s">
        <v>18</v>
      </c>
      <c r="H22" s="2">
        <v>9.3000000000000007</v>
      </c>
      <c r="I22" s="2">
        <v>275</v>
      </c>
      <c r="J22" s="2">
        <v>25</v>
      </c>
      <c r="K22" s="2">
        <v>4.5999999999999996</v>
      </c>
      <c r="L22" s="2">
        <v>4.7</v>
      </c>
      <c r="M22" s="2">
        <v>30</v>
      </c>
      <c r="N22" s="4" t="s">
        <v>19</v>
      </c>
    </row>
    <row r="23" spans="1:14" ht="29" x14ac:dyDescent="0.35">
      <c r="A23" s="4" t="s">
        <v>55</v>
      </c>
      <c r="B23" s="5">
        <v>46238</v>
      </c>
      <c r="C23" s="4" t="s">
        <v>32</v>
      </c>
      <c r="D23" s="4" t="s">
        <v>26</v>
      </c>
      <c r="E23" s="4" t="s">
        <v>27</v>
      </c>
      <c r="F23" s="4" t="s">
        <v>22</v>
      </c>
      <c r="G23" s="4" t="s">
        <v>23</v>
      </c>
      <c r="H23" s="2">
        <v>21.8</v>
      </c>
      <c r="I23" s="2">
        <v>650</v>
      </c>
      <c r="J23" s="2">
        <v>75</v>
      </c>
      <c r="K23" s="2">
        <v>4.7</v>
      </c>
      <c r="L23" s="2">
        <v>4.5</v>
      </c>
      <c r="M23" s="2">
        <v>50</v>
      </c>
      <c r="N23" s="4" t="s">
        <v>19</v>
      </c>
    </row>
    <row r="24" spans="1:14" ht="29" x14ac:dyDescent="0.35">
      <c r="A24" s="4" t="s">
        <v>56</v>
      </c>
      <c r="B24" s="5">
        <v>46239</v>
      </c>
      <c r="C24" s="4" t="s">
        <v>36</v>
      </c>
      <c r="D24" s="4" t="s">
        <v>16</v>
      </c>
      <c r="E24" s="4" t="s">
        <v>2</v>
      </c>
      <c r="F24" s="4" t="s">
        <v>17</v>
      </c>
      <c r="G24" s="4" t="s">
        <v>30</v>
      </c>
      <c r="H24" s="2">
        <v>7.6</v>
      </c>
      <c r="I24" s="2">
        <v>225</v>
      </c>
      <c r="J24" s="2">
        <v>0</v>
      </c>
      <c r="K24" s="2">
        <v>4.4000000000000004</v>
      </c>
      <c r="L24" s="2">
        <v>4.3</v>
      </c>
      <c r="M24" s="2">
        <v>26</v>
      </c>
      <c r="N24" s="4" t="s">
        <v>19</v>
      </c>
    </row>
    <row r="25" spans="1:14" ht="29" x14ac:dyDescent="0.35">
      <c r="A25" s="4" t="s">
        <v>57</v>
      </c>
      <c r="B25" s="5">
        <v>46239</v>
      </c>
      <c r="C25" s="4" t="s">
        <v>15</v>
      </c>
      <c r="D25" s="4" t="s">
        <v>38</v>
      </c>
      <c r="E25" s="4" t="s">
        <v>2</v>
      </c>
      <c r="F25" s="4" t="s">
        <v>22</v>
      </c>
      <c r="G25" s="4" t="s">
        <v>18</v>
      </c>
      <c r="H25" s="2">
        <v>3.2</v>
      </c>
      <c r="I25" s="2">
        <v>80</v>
      </c>
      <c r="J25" s="2">
        <v>5</v>
      </c>
      <c r="K25" s="2">
        <v>4.5</v>
      </c>
      <c r="L25" s="2">
        <v>4.2</v>
      </c>
      <c r="M25" s="2">
        <v>14</v>
      </c>
      <c r="N25" s="4" t="s">
        <v>19</v>
      </c>
    </row>
    <row r="26" spans="1:14" ht="29" x14ac:dyDescent="0.35">
      <c r="A26" s="4" t="s">
        <v>58</v>
      </c>
      <c r="B26" s="5">
        <v>46239</v>
      </c>
      <c r="C26" s="4" t="s">
        <v>21</v>
      </c>
      <c r="D26" s="4" t="s">
        <v>33</v>
      </c>
      <c r="E26" s="4" t="s">
        <v>2</v>
      </c>
      <c r="F26" s="4" t="s">
        <v>34</v>
      </c>
      <c r="G26" s="4" t="s">
        <v>23</v>
      </c>
      <c r="H26" s="2">
        <v>13.7</v>
      </c>
      <c r="I26" s="2">
        <v>525</v>
      </c>
      <c r="J26" s="2">
        <v>45</v>
      </c>
      <c r="K26" s="2">
        <v>4.9000000000000004</v>
      </c>
      <c r="L26" s="2">
        <v>4.9000000000000004</v>
      </c>
      <c r="M26" s="2">
        <v>42</v>
      </c>
      <c r="N26" s="4" t="s">
        <v>19</v>
      </c>
    </row>
    <row r="27" spans="1:14" ht="29" x14ac:dyDescent="0.35">
      <c r="A27" s="4" t="s">
        <v>59</v>
      </c>
      <c r="B27" s="5">
        <v>46239</v>
      </c>
      <c r="C27" s="4" t="s">
        <v>25</v>
      </c>
      <c r="D27" s="4" t="s">
        <v>16</v>
      </c>
      <c r="E27" s="4" t="s">
        <v>2</v>
      </c>
      <c r="F27" s="4" t="s">
        <v>17</v>
      </c>
      <c r="G27" s="4" t="s">
        <v>18</v>
      </c>
      <c r="H27" s="2">
        <v>11.4</v>
      </c>
      <c r="I27" s="2">
        <v>335</v>
      </c>
      <c r="J27" s="2">
        <v>30</v>
      </c>
      <c r="K27" s="2">
        <v>4.8</v>
      </c>
      <c r="L27" s="2">
        <v>4.7</v>
      </c>
      <c r="M27" s="2">
        <v>36</v>
      </c>
      <c r="N27" s="4" t="s">
        <v>19</v>
      </c>
    </row>
    <row r="28" spans="1:14" ht="29" x14ac:dyDescent="0.35">
      <c r="A28" s="4" t="s">
        <v>60</v>
      </c>
      <c r="B28" s="5">
        <v>46239</v>
      </c>
      <c r="C28" s="4" t="s">
        <v>29</v>
      </c>
      <c r="D28" s="4" t="s">
        <v>16</v>
      </c>
      <c r="E28" s="4" t="s">
        <v>2</v>
      </c>
      <c r="F28" s="4" t="s">
        <v>22</v>
      </c>
      <c r="G28" s="4" t="s">
        <v>30</v>
      </c>
      <c r="H28" s="2">
        <v>5.9</v>
      </c>
      <c r="I28" s="2">
        <v>165</v>
      </c>
      <c r="J28" s="2">
        <v>0</v>
      </c>
      <c r="K28" s="2">
        <v>4.3</v>
      </c>
      <c r="L28" s="2">
        <v>4.0999999999999996</v>
      </c>
      <c r="M28" s="2">
        <v>21</v>
      </c>
      <c r="N28" s="4" t="s">
        <v>50</v>
      </c>
    </row>
    <row r="29" spans="1:14" ht="29" x14ac:dyDescent="0.35">
      <c r="A29" s="4" t="s">
        <v>61</v>
      </c>
      <c r="B29" s="5">
        <v>46239</v>
      </c>
      <c r="C29" s="4" t="s">
        <v>32</v>
      </c>
      <c r="D29" s="4" t="s">
        <v>16</v>
      </c>
      <c r="E29" s="4" t="s">
        <v>2</v>
      </c>
      <c r="F29" s="4" t="s">
        <v>17</v>
      </c>
      <c r="G29" s="4" t="s">
        <v>18</v>
      </c>
      <c r="H29" s="2">
        <v>8.1999999999999993</v>
      </c>
      <c r="I29" s="2">
        <v>240</v>
      </c>
      <c r="J29" s="2">
        <v>20</v>
      </c>
      <c r="K29" s="2">
        <v>4.5999999999999996</v>
      </c>
      <c r="L29" s="2">
        <v>4.5</v>
      </c>
      <c r="M29" s="2">
        <v>27</v>
      </c>
      <c r="N29" s="4" t="s">
        <v>19</v>
      </c>
    </row>
    <row r="30" spans="1:14" ht="29" x14ac:dyDescent="0.35">
      <c r="A30" s="4" t="s">
        <v>62</v>
      </c>
      <c r="B30" s="5">
        <v>46240</v>
      </c>
      <c r="C30" s="4" t="s">
        <v>42</v>
      </c>
      <c r="D30" s="4" t="s">
        <v>33</v>
      </c>
      <c r="E30" s="4" t="s">
        <v>27</v>
      </c>
      <c r="F30" s="4" t="s">
        <v>34</v>
      </c>
      <c r="G30" s="4" t="s">
        <v>23</v>
      </c>
      <c r="H30" s="2">
        <v>19.600000000000001</v>
      </c>
      <c r="I30" s="2">
        <v>610</v>
      </c>
      <c r="J30" s="2">
        <v>60</v>
      </c>
      <c r="K30" s="2">
        <v>4.8</v>
      </c>
      <c r="L30" s="2">
        <v>4.8</v>
      </c>
      <c r="M30" s="2">
        <v>47</v>
      </c>
      <c r="N30" s="4" t="s">
        <v>19</v>
      </c>
    </row>
    <row r="31" spans="1:14" ht="29" x14ac:dyDescent="0.35">
      <c r="A31" s="4" t="s">
        <v>63</v>
      </c>
      <c r="B31" s="5">
        <v>46240</v>
      </c>
      <c r="C31" s="4" t="s">
        <v>36</v>
      </c>
      <c r="D31" s="4" t="s">
        <v>38</v>
      </c>
      <c r="E31" s="4" t="s">
        <v>2</v>
      </c>
      <c r="F31" s="4" t="s">
        <v>17</v>
      </c>
      <c r="G31" s="4" t="s">
        <v>18</v>
      </c>
      <c r="H31" s="2">
        <v>4.2</v>
      </c>
      <c r="I31" s="2">
        <v>95</v>
      </c>
      <c r="J31" s="2">
        <v>5</v>
      </c>
      <c r="K31" s="2">
        <v>4.5</v>
      </c>
      <c r="L31" s="2">
        <v>4.4000000000000004</v>
      </c>
      <c r="M31" s="2">
        <v>17</v>
      </c>
      <c r="N31" s="4" t="s">
        <v>19</v>
      </c>
    </row>
    <row r="32" spans="1:14" ht="29" x14ac:dyDescent="0.35">
      <c r="A32" s="4" t="s">
        <v>64</v>
      </c>
      <c r="B32" s="5">
        <v>46240</v>
      </c>
      <c r="C32" s="4" t="s">
        <v>15</v>
      </c>
      <c r="D32" s="4" t="s">
        <v>26</v>
      </c>
      <c r="E32" s="4" t="s">
        <v>27</v>
      </c>
      <c r="F32" s="4" t="s">
        <v>17</v>
      </c>
      <c r="G32" s="4" t="s">
        <v>23</v>
      </c>
      <c r="H32" s="2">
        <v>25.8</v>
      </c>
      <c r="I32" s="2">
        <v>795</v>
      </c>
      <c r="J32" s="2">
        <v>85</v>
      </c>
      <c r="K32" s="2">
        <v>4.9000000000000004</v>
      </c>
      <c r="L32" s="2">
        <v>4.8</v>
      </c>
      <c r="M32" s="2">
        <v>59</v>
      </c>
      <c r="N32" s="4" t="s">
        <v>19</v>
      </c>
    </row>
    <row r="33" spans="1:14" ht="29" x14ac:dyDescent="0.35">
      <c r="A33" s="4" t="s">
        <v>65</v>
      </c>
      <c r="B33" s="5">
        <v>46240</v>
      </c>
      <c r="C33" s="4" t="s">
        <v>21</v>
      </c>
      <c r="D33" s="4" t="s">
        <v>16</v>
      </c>
      <c r="E33" s="4" t="s">
        <v>2</v>
      </c>
      <c r="F33" s="4" t="s">
        <v>22</v>
      </c>
      <c r="G33" s="4" t="s">
        <v>18</v>
      </c>
      <c r="H33" s="2">
        <v>9.1</v>
      </c>
      <c r="I33" s="2">
        <v>270</v>
      </c>
      <c r="J33" s="2">
        <v>30</v>
      </c>
      <c r="K33" s="2">
        <v>4.5999999999999996</v>
      </c>
      <c r="L33" s="2">
        <v>4.5</v>
      </c>
      <c r="M33" s="2">
        <v>30</v>
      </c>
      <c r="N33" s="4" t="s">
        <v>19</v>
      </c>
    </row>
    <row r="34" spans="1:14" ht="29" x14ac:dyDescent="0.35">
      <c r="A34" s="4" t="s">
        <v>66</v>
      </c>
      <c r="B34" s="5">
        <v>46240</v>
      </c>
      <c r="C34" s="4" t="s">
        <v>25</v>
      </c>
      <c r="D34" s="4" t="s">
        <v>16</v>
      </c>
      <c r="E34" s="4" t="s">
        <v>2</v>
      </c>
      <c r="F34" s="4" t="s">
        <v>17</v>
      </c>
      <c r="G34" s="4" t="s">
        <v>30</v>
      </c>
      <c r="H34" s="2">
        <v>6.7</v>
      </c>
      <c r="I34" s="2">
        <v>195</v>
      </c>
      <c r="J34" s="2">
        <v>0</v>
      </c>
      <c r="K34" s="2">
        <v>4.4000000000000004</v>
      </c>
      <c r="L34" s="2">
        <v>4.3</v>
      </c>
      <c r="M34" s="2">
        <v>23</v>
      </c>
      <c r="N34" s="4" t="s">
        <v>19</v>
      </c>
    </row>
    <row r="35" spans="1:14" ht="29" x14ac:dyDescent="0.35">
      <c r="A35" s="4" t="s">
        <v>67</v>
      </c>
      <c r="B35" s="5">
        <v>46241</v>
      </c>
      <c r="C35" s="4" t="s">
        <v>29</v>
      </c>
      <c r="D35" s="4" t="s">
        <v>33</v>
      </c>
      <c r="E35" s="4" t="s">
        <v>2</v>
      </c>
      <c r="F35" s="4" t="s">
        <v>34</v>
      </c>
      <c r="G35" s="4" t="s">
        <v>23</v>
      </c>
      <c r="H35" s="2">
        <v>12.8</v>
      </c>
      <c r="I35" s="2">
        <v>490</v>
      </c>
      <c r="J35" s="2">
        <v>40</v>
      </c>
      <c r="K35" s="2">
        <v>4.9000000000000004</v>
      </c>
      <c r="L35" s="2">
        <v>4.9000000000000004</v>
      </c>
      <c r="M35" s="2">
        <v>39</v>
      </c>
      <c r="N35" s="4" t="s">
        <v>19</v>
      </c>
    </row>
    <row r="36" spans="1:14" ht="29" x14ac:dyDescent="0.35">
      <c r="A36" s="4" t="s">
        <v>68</v>
      </c>
      <c r="B36" s="5">
        <v>46241</v>
      </c>
      <c r="C36" s="4" t="s">
        <v>32</v>
      </c>
      <c r="D36" s="4" t="s">
        <v>16</v>
      </c>
      <c r="E36" s="4" t="s">
        <v>2</v>
      </c>
      <c r="F36" s="4" t="s">
        <v>17</v>
      </c>
      <c r="G36" s="4" t="s">
        <v>18</v>
      </c>
      <c r="H36" s="2">
        <v>7.5</v>
      </c>
      <c r="I36" s="2">
        <v>220</v>
      </c>
      <c r="J36" s="2">
        <v>15</v>
      </c>
      <c r="K36" s="2">
        <v>4.7</v>
      </c>
      <c r="L36" s="2">
        <v>4.5999999999999996</v>
      </c>
      <c r="M36" s="2">
        <v>25</v>
      </c>
      <c r="N36" s="4" t="s">
        <v>19</v>
      </c>
    </row>
    <row r="37" spans="1:14" ht="29" x14ac:dyDescent="0.35">
      <c r="A37" s="4" t="s">
        <v>69</v>
      </c>
      <c r="B37" s="5">
        <v>46241</v>
      </c>
      <c r="C37" s="4" t="s">
        <v>36</v>
      </c>
      <c r="D37" s="4" t="s">
        <v>26</v>
      </c>
      <c r="E37" s="4" t="s">
        <v>27</v>
      </c>
      <c r="F37" s="4" t="s">
        <v>17</v>
      </c>
      <c r="G37" s="4" t="s">
        <v>23</v>
      </c>
      <c r="H37" s="2">
        <v>23.6</v>
      </c>
      <c r="I37" s="2">
        <v>705</v>
      </c>
      <c r="J37" s="2">
        <v>70</v>
      </c>
      <c r="K37" s="2">
        <v>4.8</v>
      </c>
      <c r="L37" s="2">
        <v>4.7</v>
      </c>
      <c r="M37" s="2">
        <v>54</v>
      </c>
      <c r="N37" s="4" t="s">
        <v>19</v>
      </c>
    </row>
    <row r="38" spans="1:14" ht="29" x14ac:dyDescent="0.35">
      <c r="A38" s="4" t="s">
        <v>70</v>
      </c>
      <c r="B38" s="5">
        <v>46241</v>
      </c>
      <c r="C38" s="4" t="s">
        <v>15</v>
      </c>
      <c r="D38" s="4" t="s">
        <v>16</v>
      </c>
      <c r="E38" s="4" t="s">
        <v>2</v>
      </c>
      <c r="F38" s="4" t="s">
        <v>22</v>
      </c>
      <c r="G38" s="4" t="s">
        <v>18</v>
      </c>
      <c r="H38" s="2">
        <v>5.3</v>
      </c>
      <c r="I38" s="2">
        <v>155</v>
      </c>
      <c r="J38" s="2">
        <v>20</v>
      </c>
      <c r="K38" s="2">
        <v>4.5</v>
      </c>
      <c r="L38" s="2">
        <v>4.4000000000000004</v>
      </c>
      <c r="M38" s="2">
        <v>19</v>
      </c>
      <c r="N38" s="4" t="s">
        <v>19</v>
      </c>
    </row>
    <row r="39" spans="1:14" ht="29" x14ac:dyDescent="0.35">
      <c r="A39" s="4" t="s">
        <v>71</v>
      </c>
      <c r="B39" s="5">
        <v>46241</v>
      </c>
      <c r="C39" s="4" t="s">
        <v>21</v>
      </c>
      <c r="D39" s="4" t="s">
        <v>38</v>
      </c>
      <c r="E39" s="4" t="s">
        <v>2</v>
      </c>
      <c r="F39" s="4" t="s">
        <v>17</v>
      </c>
      <c r="G39" s="4" t="s">
        <v>30</v>
      </c>
      <c r="H39" s="2">
        <v>4.7</v>
      </c>
      <c r="I39" s="2">
        <v>110</v>
      </c>
      <c r="J39" s="2">
        <v>0</v>
      </c>
      <c r="K39" s="2">
        <v>4.4000000000000004</v>
      </c>
      <c r="L39" s="2">
        <v>4.2</v>
      </c>
      <c r="M39" s="2">
        <v>18</v>
      </c>
      <c r="N39" s="4" t="s">
        <v>50</v>
      </c>
    </row>
    <row r="40" spans="1:14" ht="29" x14ac:dyDescent="0.35">
      <c r="A40" s="4" t="s">
        <v>72</v>
      </c>
      <c r="B40" s="5">
        <v>46241</v>
      </c>
      <c r="C40" s="4" t="s">
        <v>25</v>
      </c>
      <c r="D40" s="4" t="s">
        <v>16</v>
      </c>
      <c r="E40" s="4" t="s">
        <v>2</v>
      </c>
      <c r="F40" s="4" t="s">
        <v>34</v>
      </c>
      <c r="G40" s="4" t="s">
        <v>23</v>
      </c>
      <c r="H40" s="2">
        <v>10.9</v>
      </c>
      <c r="I40" s="2">
        <v>330</v>
      </c>
      <c r="J40" s="2">
        <v>25</v>
      </c>
      <c r="K40" s="2">
        <v>4.8</v>
      </c>
      <c r="L40" s="2">
        <v>4.7</v>
      </c>
      <c r="M40" s="2">
        <v>35</v>
      </c>
      <c r="N40" s="4" t="s">
        <v>19</v>
      </c>
    </row>
    <row r="41" spans="1:14" ht="29" x14ac:dyDescent="0.35">
      <c r="A41" s="4" t="s">
        <v>73</v>
      </c>
      <c r="B41" s="5">
        <v>46241</v>
      </c>
      <c r="C41" s="4" t="s">
        <v>42</v>
      </c>
      <c r="D41" s="4" t="s">
        <v>16</v>
      </c>
      <c r="E41" s="4" t="s">
        <v>27</v>
      </c>
      <c r="F41" s="4" t="s">
        <v>17</v>
      </c>
      <c r="G41" s="4" t="s">
        <v>18</v>
      </c>
      <c r="H41" s="2">
        <v>16.8</v>
      </c>
      <c r="I41" s="2">
        <v>495</v>
      </c>
      <c r="J41" s="2">
        <v>50</v>
      </c>
      <c r="K41" s="2">
        <v>4.7</v>
      </c>
      <c r="L41" s="2">
        <v>4.5999999999999996</v>
      </c>
      <c r="M41" s="2">
        <v>40</v>
      </c>
      <c r="N41" s="4" t="s">
        <v>19</v>
      </c>
    </row>
    <row r="42" spans="1:14" ht="29" x14ac:dyDescent="0.35">
      <c r="A42" s="4" t="s">
        <v>74</v>
      </c>
      <c r="B42" s="5">
        <v>46242</v>
      </c>
      <c r="C42" s="4" t="s">
        <v>29</v>
      </c>
      <c r="D42" s="4" t="s">
        <v>38</v>
      </c>
      <c r="E42" s="4" t="s">
        <v>2</v>
      </c>
      <c r="F42" s="4" t="s">
        <v>22</v>
      </c>
      <c r="G42" s="4" t="s">
        <v>18</v>
      </c>
      <c r="H42" s="2">
        <v>3.9</v>
      </c>
      <c r="I42" s="2">
        <v>92</v>
      </c>
      <c r="J42" s="2">
        <v>5</v>
      </c>
      <c r="K42" s="2">
        <v>4.5</v>
      </c>
      <c r="L42" s="2">
        <v>4.3</v>
      </c>
      <c r="M42" s="2">
        <v>15</v>
      </c>
      <c r="N42" s="4" t="s">
        <v>19</v>
      </c>
    </row>
    <row r="43" spans="1:14" ht="29" x14ac:dyDescent="0.35">
      <c r="A43" s="4" t="s">
        <v>75</v>
      </c>
      <c r="B43" s="5">
        <v>46242</v>
      </c>
      <c r="C43" s="4" t="s">
        <v>32</v>
      </c>
      <c r="D43" s="4" t="s">
        <v>33</v>
      </c>
      <c r="E43" s="4" t="s">
        <v>2</v>
      </c>
      <c r="F43" s="4" t="s">
        <v>34</v>
      </c>
      <c r="G43" s="4" t="s">
        <v>23</v>
      </c>
      <c r="H43" s="2">
        <v>15.2</v>
      </c>
      <c r="I43" s="2">
        <v>575</v>
      </c>
      <c r="J43" s="2">
        <v>50</v>
      </c>
      <c r="K43" s="2">
        <v>4.9000000000000004</v>
      </c>
      <c r="L43" s="2">
        <v>4.8</v>
      </c>
      <c r="M43" s="2">
        <v>45</v>
      </c>
      <c r="N43" s="4" t="s">
        <v>19</v>
      </c>
    </row>
    <row r="44" spans="1:14" ht="29" x14ac:dyDescent="0.35">
      <c r="A44" s="4" t="s">
        <v>76</v>
      </c>
      <c r="B44" s="5">
        <v>46242</v>
      </c>
      <c r="C44" s="4" t="s">
        <v>36</v>
      </c>
      <c r="D44" s="4" t="s">
        <v>16</v>
      </c>
      <c r="E44" s="4" t="s">
        <v>2</v>
      </c>
      <c r="F44" s="4" t="s">
        <v>17</v>
      </c>
      <c r="G44" s="4" t="s">
        <v>30</v>
      </c>
      <c r="H44" s="2">
        <v>8.8000000000000007</v>
      </c>
      <c r="I44" s="2">
        <v>255</v>
      </c>
      <c r="J44" s="2">
        <v>0</v>
      </c>
      <c r="K44" s="2">
        <v>4.5999999999999996</v>
      </c>
      <c r="L44" s="2">
        <v>4.5</v>
      </c>
      <c r="M44" s="2">
        <v>28</v>
      </c>
      <c r="N44" s="4" t="s">
        <v>19</v>
      </c>
    </row>
    <row r="45" spans="1:14" ht="29" x14ac:dyDescent="0.35">
      <c r="A45" s="4" t="s">
        <v>77</v>
      </c>
      <c r="B45" s="5">
        <v>46242</v>
      </c>
      <c r="C45" s="4" t="s">
        <v>15</v>
      </c>
      <c r="D45" s="4" t="s">
        <v>16</v>
      </c>
      <c r="E45" s="4" t="s">
        <v>2</v>
      </c>
      <c r="F45" s="4" t="s">
        <v>17</v>
      </c>
      <c r="G45" s="4" t="s">
        <v>18</v>
      </c>
      <c r="H45" s="2">
        <v>10.1</v>
      </c>
      <c r="I45" s="2">
        <v>300</v>
      </c>
      <c r="J45" s="2">
        <v>25</v>
      </c>
      <c r="K45" s="2">
        <v>4.8</v>
      </c>
      <c r="L45" s="2">
        <v>4.7</v>
      </c>
      <c r="M45" s="2">
        <v>33</v>
      </c>
      <c r="N45" s="4" t="s">
        <v>19</v>
      </c>
    </row>
    <row r="46" spans="1:14" ht="29" x14ac:dyDescent="0.35">
      <c r="A46" s="4" t="s">
        <v>78</v>
      </c>
      <c r="B46" s="5">
        <v>46242</v>
      </c>
      <c r="C46" s="4" t="s">
        <v>21</v>
      </c>
      <c r="D46" s="4" t="s">
        <v>26</v>
      </c>
      <c r="E46" s="4" t="s">
        <v>27</v>
      </c>
      <c r="F46" s="4" t="s">
        <v>34</v>
      </c>
      <c r="G46" s="4" t="s">
        <v>23</v>
      </c>
      <c r="H46" s="2">
        <v>27.4</v>
      </c>
      <c r="I46" s="2">
        <v>850</v>
      </c>
      <c r="J46" s="2">
        <v>100</v>
      </c>
      <c r="K46" s="2">
        <v>4.9000000000000004</v>
      </c>
      <c r="L46" s="2">
        <v>4.9000000000000004</v>
      </c>
      <c r="M46" s="2">
        <v>64</v>
      </c>
      <c r="N46" s="4" t="s">
        <v>19</v>
      </c>
    </row>
    <row r="47" spans="1:14" ht="29" x14ac:dyDescent="0.35">
      <c r="A47" s="4" t="s">
        <v>79</v>
      </c>
      <c r="B47" s="5">
        <v>46242</v>
      </c>
      <c r="C47" s="4" t="s">
        <v>25</v>
      </c>
      <c r="D47" s="4" t="s">
        <v>38</v>
      </c>
      <c r="E47" s="4" t="s">
        <v>2</v>
      </c>
      <c r="F47" s="4" t="s">
        <v>22</v>
      </c>
      <c r="G47" s="4" t="s">
        <v>30</v>
      </c>
      <c r="H47" s="2">
        <v>4.0999999999999996</v>
      </c>
      <c r="I47" s="2">
        <v>95</v>
      </c>
      <c r="J47" s="2">
        <v>0</v>
      </c>
      <c r="K47" s="2">
        <v>4.2</v>
      </c>
      <c r="L47" s="2">
        <v>4</v>
      </c>
      <c r="M47" s="2">
        <v>17</v>
      </c>
      <c r="N47" s="4" t="s">
        <v>19</v>
      </c>
    </row>
    <row r="48" spans="1:14" ht="29" x14ac:dyDescent="0.35">
      <c r="A48" s="4" t="s">
        <v>80</v>
      </c>
      <c r="B48" s="5">
        <v>46243</v>
      </c>
      <c r="C48" s="4" t="s">
        <v>29</v>
      </c>
      <c r="D48" s="4" t="s">
        <v>16</v>
      </c>
      <c r="E48" s="4" t="s">
        <v>2</v>
      </c>
      <c r="F48" s="4" t="s">
        <v>17</v>
      </c>
      <c r="G48" s="4" t="s">
        <v>18</v>
      </c>
      <c r="H48" s="2">
        <v>7.9</v>
      </c>
      <c r="I48" s="2">
        <v>230</v>
      </c>
      <c r="J48" s="2">
        <v>20</v>
      </c>
      <c r="K48" s="2">
        <v>4.7</v>
      </c>
      <c r="L48" s="2">
        <v>4.5999999999999996</v>
      </c>
      <c r="M48" s="2">
        <v>26</v>
      </c>
      <c r="N48" s="4" t="s">
        <v>19</v>
      </c>
    </row>
    <row r="49" spans="1:14" ht="29" x14ac:dyDescent="0.35">
      <c r="A49" s="4" t="s">
        <v>81</v>
      </c>
      <c r="B49" s="5">
        <v>46243</v>
      </c>
      <c r="C49" s="4" t="s">
        <v>32</v>
      </c>
      <c r="D49" s="4" t="s">
        <v>26</v>
      </c>
      <c r="E49" s="4" t="s">
        <v>27</v>
      </c>
      <c r="F49" s="4" t="s">
        <v>17</v>
      </c>
      <c r="G49" s="4" t="s">
        <v>23</v>
      </c>
      <c r="H49" s="2">
        <v>20.5</v>
      </c>
      <c r="I49" s="2">
        <v>625</v>
      </c>
      <c r="J49" s="2">
        <v>65</v>
      </c>
      <c r="K49" s="2">
        <v>4.8</v>
      </c>
      <c r="L49" s="2">
        <v>4.7</v>
      </c>
      <c r="M49" s="2">
        <v>49</v>
      </c>
      <c r="N49" s="4" t="s">
        <v>19</v>
      </c>
    </row>
    <row r="50" spans="1:14" ht="29" x14ac:dyDescent="0.35">
      <c r="A50" s="4" t="s">
        <v>82</v>
      </c>
      <c r="B50" s="5">
        <v>46243</v>
      </c>
      <c r="C50" s="4" t="s">
        <v>42</v>
      </c>
      <c r="D50" s="4" t="s">
        <v>38</v>
      </c>
      <c r="E50" s="4" t="s">
        <v>2</v>
      </c>
      <c r="F50" s="4" t="s">
        <v>22</v>
      </c>
      <c r="G50" s="4" t="s">
        <v>18</v>
      </c>
      <c r="H50" s="2">
        <v>4.8</v>
      </c>
      <c r="I50" s="2">
        <v>105</v>
      </c>
      <c r="J50" s="2">
        <v>10</v>
      </c>
      <c r="K50" s="2">
        <v>4.5999999999999996</v>
      </c>
      <c r="L50" s="2">
        <v>4.4000000000000004</v>
      </c>
      <c r="M50" s="2">
        <v>18</v>
      </c>
      <c r="N50" s="4" t="s">
        <v>19</v>
      </c>
    </row>
    <row r="51" spans="1:14" ht="29" x14ac:dyDescent="0.35">
      <c r="A51" s="4" t="s">
        <v>83</v>
      </c>
      <c r="B51" s="5">
        <v>46243</v>
      </c>
      <c r="C51" s="4" t="s">
        <v>36</v>
      </c>
      <c r="D51" s="4" t="s">
        <v>16</v>
      </c>
      <c r="E51" s="4" t="s">
        <v>2</v>
      </c>
      <c r="F51" s="4" t="s">
        <v>17</v>
      </c>
      <c r="G51" s="4" t="s">
        <v>18</v>
      </c>
      <c r="H51" s="2">
        <v>9.6</v>
      </c>
      <c r="I51" s="2">
        <v>285</v>
      </c>
      <c r="J51" s="2">
        <v>25</v>
      </c>
      <c r="K51" s="2">
        <v>4.7</v>
      </c>
      <c r="L51" s="2">
        <v>4.5999999999999996</v>
      </c>
      <c r="M51" s="2">
        <v>32</v>
      </c>
      <c r="N51" s="4" t="s">
        <v>19</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C34EB7-F9CB-41D8-A9B3-ACFA7680C953}">
  <dimension ref="A1:D27"/>
  <sheetViews>
    <sheetView topLeftCell="A8" workbookViewId="0">
      <selection activeCell="D7" sqref="D7"/>
    </sheetView>
  </sheetViews>
  <sheetFormatPr defaultRowHeight="14.5" x14ac:dyDescent="0.35"/>
  <cols>
    <col min="1" max="1" width="30.81640625" customWidth="1"/>
    <col min="2" max="2" width="61.36328125" customWidth="1"/>
    <col min="4" max="4" width="10.453125" customWidth="1"/>
  </cols>
  <sheetData>
    <row r="1" spans="1:4" x14ac:dyDescent="0.35">
      <c r="A1" s="8" t="s">
        <v>84</v>
      </c>
      <c r="B1" s="8" t="s">
        <v>85</v>
      </c>
    </row>
    <row r="2" spans="1:4" x14ac:dyDescent="0.35">
      <c r="A2" s="10" t="s">
        <v>86</v>
      </c>
      <c r="B2" s="10" t="s">
        <v>87</v>
      </c>
      <c r="D2" t="s">
        <v>119</v>
      </c>
    </row>
    <row r="3" spans="1:4" x14ac:dyDescent="0.35">
      <c r="A3" s="10" t="s">
        <v>88</v>
      </c>
      <c r="B3" s="10" t="s">
        <v>89</v>
      </c>
      <c r="D3">
        <f>COUNTA(Table1[Ride_ID])</f>
        <v>50</v>
      </c>
    </row>
    <row r="4" spans="1:4" x14ac:dyDescent="0.35">
      <c r="A4" s="10" t="s">
        <v>90</v>
      </c>
      <c r="B4" s="10" t="s">
        <v>91</v>
      </c>
      <c r="D4">
        <f>COUNTIF(Table1[Status],"completed")</f>
        <v>47</v>
      </c>
    </row>
    <row r="5" spans="1:4" x14ac:dyDescent="0.35">
      <c r="A5" s="10" t="s">
        <v>92</v>
      </c>
      <c r="B5" s="10" t="s">
        <v>93</v>
      </c>
      <c r="D5">
        <f>SUM(Table1[Fare_INR])</f>
        <v>18042</v>
      </c>
    </row>
    <row r="6" spans="1:4" x14ac:dyDescent="0.35">
      <c r="A6" s="10" t="s">
        <v>94</v>
      </c>
      <c r="B6" s="10" t="s">
        <v>95</v>
      </c>
      <c r="D6">
        <f>AVERAGE(Table1[Fare_INR])</f>
        <v>360.84</v>
      </c>
    </row>
    <row r="7" spans="1:4" x14ac:dyDescent="0.35">
      <c r="D7">
        <f>AVERAGE(Table1[Customer_Rating])</f>
        <v>4.5640000000000001</v>
      </c>
    </row>
    <row r="9" spans="1:4" x14ac:dyDescent="0.35">
      <c r="A9" s="8" t="s">
        <v>96</v>
      </c>
      <c r="B9" s="8" t="s">
        <v>97</v>
      </c>
    </row>
    <row r="10" spans="1:4" x14ac:dyDescent="0.35">
      <c r="A10" s="9" t="s">
        <v>98</v>
      </c>
      <c r="B10" s="10" t="s">
        <v>99</v>
      </c>
    </row>
    <row r="11" spans="1:4" x14ac:dyDescent="0.35">
      <c r="A11" s="9" t="s">
        <v>100</v>
      </c>
      <c r="B11" s="10" t="s">
        <v>101</v>
      </c>
    </row>
    <row r="12" spans="1:4" x14ac:dyDescent="0.35">
      <c r="A12" s="9" t="s">
        <v>102</v>
      </c>
      <c r="B12" s="10" t="s">
        <v>103</v>
      </c>
    </row>
    <row r="13" spans="1:4" x14ac:dyDescent="0.35">
      <c r="A13" s="9" t="s">
        <v>104</v>
      </c>
      <c r="B13" s="10" t="s">
        <v>105</v>
      </c>
    </row>
    <row r="14" spans="1:4" x14ac:dyDescent="0.35">
      <c r="A14" s="9" t="s">
        <v>106</v>
      </c>
      <c r="B14" s="10" t="s">
        <v>107</v>
      </c>
    </row>
    <row r="15" spans="1:4" x14ac:dyDescent="0.35">
      <c r="A15" s="9" t="s">
        <v>108</v>
      </c>
      <c r="B15" s="10" t="s">
        <v>109</v>
      </c>
    </row>
    <row r="16" spans="1:4" x14ac:dyDescent="0.35">
      <c r="A16" s="9" t="s">
        <v>110</v>
      </c>
      <c r="B16" s="10" t="s">
        <v>111</v>
      </c>
    </row>
    <row r="17" spans="1:2" x14ac:dyDescent="0.35">
      <c r="A17" s="9" t="s">
        <v>112</v>
      </c>
      <c r="B17" s="10" t="s">
        <v>113</v>
      </c>
    </row>
    <row r="19" spans="1:2" ht="17.5" x14ac:dyDescent="0.35">
      <c r="A19" s="6" t="s">
        <v>114</v>
      </c>
    </row>
    <row r="20" spans="1:2" x14ac:dyDescent="0.35">
      <c r="A20" s="7"/>
    </row>
    <row r="21" spans="1:2" x14ac:dyDescent="0.35">
      <c r="A21" s="7" t="s">
        <v>1</v>
      </c>
    </row>
    <row r="22" spans="1:2" x14ac:dyDescent="0.35">
      <c r="A22" s="7" t="s">
        <v>2</v>
      </c>
    </row>
    <row r="23" spans="1:2" x14ac:dyDescent="0.35">
      <c r="A23" s="7" t="s">
        <v>115</v>
      </c>
    </row>
    <row r="24" spans="1:2" x14ac:dyDescent="0.35">
      <c r="A24" s="7" t="s">
        <v>116</v>
      </c>
    </row>
    <row r="25" spans="1:2" x14ac:dyDescent="0.35">
      <c r="A25" s="7" t="s">
        <v>117</v>
      </c>
    </row>
    <row r="26" spans="1:2" x14ac:dyDescent="0.35">
      <c r="A26" s="7" t="s">
        <v>118</v>
      </c>
    </row>
    <row r="27" spans="1:2" x14ac:dyDescent="0.35">
      <c r="A27" s="7" t="s">
        <v>13</v>
      </c>
    </row>
  </sheetData>
  <pageMargins left="0.7" right="0.7" top="0.75" bottom="0.75" header="0.3" footer="0.3"/>
  <drawing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75664-6022-4522-B037-5D24131B7BC9}">
  <dimension ref="A1:W11"/>
  <sheetViews>
    <sheetView topLeftCell="J6" workbookViewId="0">
      <selection activeCell="T30" sqref="T30"/>
    </sheetView>
  </sheetViews>
  <sheetFormatPr defaultRowHeight="14.5" x14ac:dyDescent="0.35"/>
  <cols>
    <col min="1" max="1" width="12.453125" bestFit="1" customWidth="1"/>
    <col min="2" max="2" width="14.54296875" bestFit="1" customWidth="1"/>
    <col min="4" max="4" width="12.453125" bestFit="1" customWidth="1"/>
    <col min="5" max="5" width="14.81640625" bestFit="1" customWidth="1"/>
    <col min="7" max="7" width="12.453125" bestFit="1" customWidth="1"/>
    <col min="8" max="8" width="14.54296875" bestFit="1" customWidth="1"/>
    <col min="10" max="10" width="12.453125" bestFit="1" customWidth="1"/>
    <col min="11" max="11" width="14.81640625" bestFit="1" customWidth="1"/>
    <col min="13" max="13" width="12.453125" bestFit="1" customWidth="1"/>
    <col min="14" max="14" width="14.54296875" bestFit="1" customWidth="1"/>
    <col min="16" max="16" width="12.453125" bestFit="1" customWidth="1"/>
    <col min="17" max="17" width="14.81640625" bestFit="1" customWidth="1"/>
    <col min="19" max="19" width="12.453125" bestFit="1" customWidth="1"/>
    <col min="20" max="20" width="21.6328125" bestFit="1" customWidth="1"/>
    <col min="22" max="22" width="12.453125" bestFit="1" customWidth="1"/>
    <col min="23" max="23" width="14.81640625" bestFit="1" customWidth="1"/>
  </cols>
  <sheetData>
    <row r="1" spans="1:23" x14ac:dyDescent="0.35">
      <c r="A1" s="11" t="s">
        <v>120</v>
      </c>
      <c r="B1" t="s">
        <v>91</v>
      </c>
      <c r="D1" s="11" t="s">
        <v>120</v>
      </c>
      <c r="E1" t="s">
        <v>87</v>
      </c>
      <c r="G1" s="11" t="s">
        <v>120</v>
      </c>
      <c r="H1" t="s">
        <v>91</v>
      </c>
      <c r="J1" s="11" t="s">
        <v>120</v>
      </c>
      <c r="K1" t="s">
        <v>87</v>
      </c>
      <c r="M1" s="11" t="s">
        <v>120</v>
      </c>
      <c r="N1" t="s">
        <v>91</v>
      </c>
      <c r="P1" s="11" t="s">
        <v>120</v>
      </c>
      <c r="Q1" t="s">
        <v>87</v>
      </c>
      <c r="S1" s="11" t="s">
        <v>120</v>
      </c>
      <c r="T1" t="s">
        <v>122</v>
      </c>
      <c r="V1" s="11" t="s">
        <v>120</v>
      </c>
      <c r="W1" t="s">
        <v>87</v>
      </c>
    </row>
    <row r="2" spans="1:23" x14ac:dyDescent="0.35">
      <c r="A2" s="12" t="s">
        <v>15</v>
      </c>
      <c r="B2">
        <v>2425</v>
      </c>
      <c r="D2" s="12" t="s">
        <v>38</v>
      </c>
      <c r="E2">
        <v>9</v>
      </c>
      <c r="G2" s="13">
        <v>46235</v>
      </c>
      <c r="H2">
        <v>1950</v>
      </c>
      <c r="J2" s="12" t="s">
        <v>23</v>
      </c>
      <c r="K2">
        <v>17</v>
      </c>
      <c r="M2" s="12" t="s">
        <v>27</v>
      </c>
      <c r="N2">
        <v>8400</v>
      </c>
      <c r="P2" s="12" t="s">
        <v>22</v>
      </c>
      <c r="Q2">
        <v>13</v>
      </c>
      <c r="S2" s="12" t="s">
        <v>38</v>
      </c>
      <c r="T2">
        <v>38.5</v>
      </c>
      <c r="V2" s="12" t="s">
        <v>50</v>
      </c>
      <c r="W2">
        <v>3</v>
      </c>
    </row>
    <row r="3" spans="1:23" x14ac:dyDescent="0.35">
      <c r="A3" s="12" t="s">
        <v>32</v>
      </c>
      <c r="B3">
        <v>2980</v>
      </c>
      <c r="D3" s="12" t="s">
        <v>33</v>
      </c>
      <c r="E3">
        <v>8</v>
      </c>
      <c r="G3" s="13">
        <v>46236</v>
      </c>
      <c r="H3">
        <v>2040</v>
      </c>
      <c r="J3" s="12" t="s">
        <v>30</v>
      </c>
      <c r="K3">
        <v>10</v>
      </c>
      <c r="M3" s="12" t="s">
        <v>2</v>
      </c>
      <c r="N3">
        <v>9642</v>
      </c>
      <c r="P3" s="12" t="s">
        <v>34</v>
      </c>
      <c r="Q3">
        <v>11</v>
      </c>
      <c r="S3" s="12" t="s">
        <v>33</v>
      </c>
      <c r="T3">
        <v>38.799999999999997</v>
      </c>
      <c r="V3" s="12" t="s">
        <v>19</v>
      </c>
      <c r="W3">
        <v>47</v>
      </c>
    </row>
    <row r="4" spans="1:23" x14ac:dyDescent="0.35">
      <c r="A4" s="12" t="s">
        <v>25</v>
      </c>
      <c r="B4">
        <v>2895</v>
      </c>
      <c r="D4" s="12" t="s">
        <v>16</v>
      </c>
      <c r="E4">
        <v>25</v>
      </c>
      <c r="G4" s="13">
        <v>46237</v>
      </c>
      <c r="H4">
        <v>2215</v>
      </c>
      <c r="J4" s="12" t="s">
        <v>18</v>
      </c>
      <c r="K4">
        <v>23</v>
      </c>
      <c r="M4" s="12" t="s">
        <v>121</v>
      </c>
      <c r="N4">
        <v>18042</v>
      </c>
      <c r="P4" s="12" t="s">
        <v>17</v>
      </c>
      <c r="Q4">
        <v>26</v>
      </c>
      <c r="S4" s="12" t="s">
        <v>16</v>
      </c>
      <c r="T4">
        <v>112.89999999999999</v>
      </c>
      <c r="V4" s="12" t="s">
        <v>121</v>
      </c>
      <c r="W4">
        <v>50</v>
      </c>
    </row>
    <row r="5" spans="1:23" x14ac:dyDescent="0.35">
      <c r="A5" s="12" t="s">
        <v>29</v>
      </c>
      <c r="B5">
        <v>2122</v>
      </c>
      <c r="D5" s="12" t="s">
        <v>26</v>
      </c>
      <c r="E5">
        <v>8</v>
      </c>
      <c r="G5" s="13">
        <v>46238</v>
      </c>
      <c r="H5">
        <v>2385</v>
      </c>
      <c r="J5" s="12" t="s">
        <v>121</v>
      </c>
      <c r="K5">
        <v>50</v>
      </c>
      <c r="P5" s="12" t="s">
        <v>121</v>
      </c>
      <c r="Q5">
        <v>50</v>
      </c>
      <c r="S5" s="12" t="s">
        <v>26</v>
      </c>
      <c r="T5">
        <v>38</v>
      </c>
    </row>
    <row r="6" spans="1:23" x14ac:dyDescent="0.35">
      <c r="A6" s="12" t="s">
        <v>42</v>
      </c>
      <c r="B6">
        <v>1865</v>
      </c>
      <c r="D6" s="12" t="s">
        <v>121</v>
      </c>
      <c r="E6">
        <v>50</v>
      </c>
      <c r="G6" s="13">
        <v>46239</v>
      </c>
      <c r="H6">
        <v>1570</v>
      </c>
      <c r="S6" s="12" t="s">
        <v>121</v>
      </c>
      <c r="T6">
        <v>228.2</v>
      </c>
    </row>
    <row r="7" spans="1:23" x14ac:dyDescent="0.35">
      <c r="A7" s="12" t="s">
        <v>21</v>
      </c>
      <c r="B7">
        <v>3525</v>
      </c>
      <c r="G7" s="13">
        <v>46240</v>
      </c>
      <c r="H7">
        <v>1965</v>
      </c>
    </row>
    <row r="8" spans="1:23" x14ac:dyDescent="0.35">
      <c r="A8" s="12" t="s">
        <v>36</v>
      </c>
      <c r="B8">
        <v>2230</v>
      </c>
      <c r="G8" s="13">
        <v>46241</v>
      </c>
      <c r="H8">
        <v>2505</v>
      </c>
    </row>
    <row r="9" spans="1:23" x14ac:dyDescent="0.35">
      <c r="A9" s="12" t="s">
        <v>121</v>
      </c>
      <c r="B9">
        <v>18042</v>
      </c>
      <c r="G9" s="13">
        <v>46242</v>
      </c>
      <c r="H9">
        <v>2167</v>
      </c>
    </row>
    <row r="10" spans="1:23" x14ac:dyDescent="0.35">
      <c r="G10" s="13">
        <v>46243</v>
      </c>
      <c r="H10">
        <v>1245</v>
      </c>
    </row>
    <row r="11" spans="1:23" x14ac:dyDescent="0.35">
      <c r="G11" s="13" t="s">
        <v>121</v>
      </c>
      <c r="H11">
        <v>18042</v>
      </c>
    </row>
  </sheetData>
  <pageMargins left="0.7" right="0.7" top="0.75" bottom="0.75" header="0.3" footer="0.3"/>
  <drawing r:id="rId9"/>
  <extLst>
    <ext xmlns:x14="http://schemas.microsoft.com/office/spreadsheetml/2009/9/main" uri="{A8765BA9-456A-4dab-B4F3-ACF838C121DE}">
      <x14:slicerList>
        <x14:slicer r:id="rId10"/>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7FFEE-B8E9-498B-8A25-6FC6200AB293}">
  <dimension ref="A1"/>
  <sheetViews>
    <sheetView showGridLines="0" tabSelected="1" topLeftCell="B14" zoomScale="61" zoomScaleNormal="60" workbookViewId="0">
      <selection activeCell="AK9" sqref="AK9"/>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DASHBOARD</vt:lpstr>
      <vt:lpstr>CONTENTS</vt: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shabnam edakuni</dc:creator>
  <cp:lastModifiedBy>Hp</cp:lastModifiedBy>
  <dcterms:created xsi:type="dcterms:W3CDTF">2026-08-10T04:14:19Z</dcterms:created>
  <dcterms:modified xsi:type="dcterms:W3CDTF">2026-08-13T04:49:47Z</dcterms:modified>
</cp:coreProperties>
</file>